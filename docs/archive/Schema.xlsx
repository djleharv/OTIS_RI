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OpenTTD_Tools_and_Code\Projects\otis_ri_testbed\docs\archive\"/>
    </mc:Choice>
  </mc:AlternateContent>
  <xr:revisionPtr revIDLastSave="0" documentId="13_ncr:1_{22D31EDC-4A7D-4819-9613-B16A82270BEE}" xr6:coauthVersionLast="47" xr6:coauthVersionMax="47" xr10:uidLastSave="{00000000-0000-0000-0000-000000000000}"/>
  <bookViews>
    <workbookView minimized="1" xWindow="4740" yWindow="2190" windowWidth="21600" windowHeight="11385" tabRatio="819" activeTab="3" xr2:uid="{93663241-4EBE-4CC0-971D-E438CB79BA69}"/>
  </bookViews>
  <sheets>
    <sheet name="(1)Extraction" sheetId="9" r:id="rId1"/>
    <sheet name="(2)Processing" sheetId="13" r:id="rId2"/>
    <sheet name="(3)Manufacturing" sheetId="8" r:id="rId3"/>
    <sheet name="(4)Distribution" sheetId="10" r:id="rId4"/>
    <sheet name="(5)Utilities" sheetId="11" r:id="rId5"/>
    <sheet name="(6)Import&amp;Export" sheetId="12" r:id="rId6"/>
    <sheet name="SPI" sheetId="34" r:id="rId7"/>
    <sheet name="Cargo List" sheetId="2" r:id="rId8"/>
    <sheet name="Industries (2)" sheetId="35" r:id="rId9"/>
    <sheet name="Industries" sheetId="3" r:id="rId10"/>
    <sheet name="Variables" sheetId="16" r:id="rId11"/>
    <sheet name="Cement(2)" sheetId="21" r:id="rId12"/>
    <sheet name="Petrochemicals or Petroleum(2)" sheetId="22" r:id="rId13"/>
    <sheet name="Glass Products(2)" sheetId="23" r:id="rId14"/>
    <sheet name="Chemical Products(2)" sheetId="24" r:id="rId15"/>
    <sheet name="Steel(2)" sheetId="15" r:id="rId16"/>
    <sheet name="Aluminium(2)" sheetId="18" r:id="rId17"/>
    <sheet name="Copper(2)" sheetId="19" r:id="rId18"/>
    <sheet name="Silicon(2)" sheetId="20" r:id="rId19"/>
    <sheet name="Lithium(2)" sheetId="25" r:id="rId20"/>
    <sheet name="Wood or Paper(2)" sheetId="26" r:id="rId21"/>
    <sheet name="Plastic Products(2)" sheetId="27" r:id="rId22"/>
    <sheet name="Nuclear Fuels(2)" sheetId="28" r:id="rId23"/>
    <sheet name="Fertilizer(2)" sheetId="30" r:id="rId24"/>
    <sheet name="Recycled(2)" sheetId="31" r:id="rId25"/>
    <sheet name="Packaging(3)" sheetId="32" r:id="rId26"/>
    <sheet name="Electronics(3)" sheetId="33" r:id="rId27"/>
  </sheets>
  <definedNames>
    <definedName name="_xlnm._FilterDatabase" localSheetId="7" hidden="1">'Cargo List'!$A$1:$K$66</definedName>
    <definedName name="_xlnm._FilterDatabase" localSheetId="9" hidden="1">Industries!$A$1:$F$22</definedName>
    <definedName name="_xlnm._FilterDatabase" localSheetId="8" hidden="1">'Industries (2)'!$C$1:$G$3</definedName>
    <definedName name="baseprod">Variables!$B$3</definedName>
    <definedName name="commsboost">Variables!$B$6</definedName>
    <definedName name="ensp">Variables!$B$5</definedName>
    <definedName name="prodtype">Variables!$B$2</definedName>
    <definedName name="synergy">Variables!$B$4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3" i="10" l="1"/>
  <c r="R24" i="10"/>
  <c r="Q19" i="10"/>
  <c r="Q20" i="10" s="1"/>
  <c r="Q18" i="10"/>
  <c r="R18" i="10"/>
  <c r="R19" i="10"/>
  <c r="R17" i="10"/>
  <c r="D28" i="34"/>
  <c r="C24" i="34"/>
  <c r="D24" i="34" s="1"/>
  <c r="E24" i="34" s="1"/>
  <c r="C20" i="34"/>
  <c r="D20" i="34" s="1"/>
  <c r="E20" i="34" s="1"/>
  <c r="F20" i="34" s="1"/>
  <c r="G20" i="34" s="1"/>
  <c r="H20" i="34" s="1"/>
  <c r="I20" i="34" s="1"/>
  <c r="J20" i="34" s="1"/>
  <c r="K20" i="34" s="1"/>
  <c r="L20" i="34" s="1"/>
  <c r="D25" i="34"/>
  <c r="E25" i="34" s="1"/>
  <c r="D22" i="34"/>
  <c r="D21" i="34"/>
  <c r="E21" i="34" s="1"/>
  <c r="D51" i="33"/>
  <c r="D49" i="33"/>
  <c r="D47" i="33"/>
  <c r="D50" i="33" s="1"/>
  <c r="D52" i="33" s="1"/>
  <c r="E52" i="33" s="1"/>
  <c r="D46" i="33"/>
  <c r="D45" i="33"/>
  <c r="D41" i="33"/>
  <c r="D39" i="33"/>
  <c r="D37" i="33"/>
  <c r="D36" i="33"/>
  <c r="D35" i="33"/>
  <c r="D31" i="33"/>
  <c r="D29" i="33"/>
  <c r="D27" i="33"/>
  <c r="D26" i="33"/>
  <c r="D25" i="33"/>
  <c r="D21" i="33"/>
  <c r="D19" i="33"/>
  <c r="D17" i="33"/>
  <c r="D16" i="33"/>
  <c r="D15" i="33"/>
  <c r="D11" i="33"/>
  <c r="I10" i="33"/>
  <c r="J10" i="33" s="1"/>
  <c r="J11" i="33" s="1"/>
  <c r="K11" i="33" s="1"/>
  <c r="D10" i="33"/>
  <c r="J9" i="33"/>
  <c r="D9" i="33"/>
  <c r="D7" i="33"/>
  <c r="J6" i="33"/>
  <c r="D6" i="33"/>
  <c r="J5" i="33"/>
  <c r="D5" i="33"/>
  <c r="I4" i="33"/>
  <c r="J4" i="33" s="1"/>
  <c r="J7" i="33" s="1"/>
  <c r="D4" i="33"/>
  <c r="J3" i="33"/>
  <c r="D3" i="33"/>
  <c r="D8" i="33" s="1"/>
  <c r="I10" i="32"/>
  <c r="J10" i="32" s="1"/>
  <c r="J9" i="32"/>
  <c r="D8" i="32"/>
  <c r="D7" i="32"/>
  <c r="J6" i="32"/>
  <c r="D6" i="32"/>
  <c r="J5" i="32"/>
  <c r="D5" i="32"/>
  <c r="I4" i="32"/>
  <c r="J4" i="32" s="1"/>
  <c r="D4" i="32"/>
  <c r="J3" i="32"/>
  <c r="D3" i="32"/>
  <c r="D9" i="32" s="1"/>
  <c r="I10" i="31"/>
  <c r="J10" i="31" s="1"/>
  <c r="J11" i="31" s="1"/>
  <c r="K11" i="31" s="1"/>
  <c r="J9" i="31"/>
  <c r="D8" i="31"/>
  <c r="D7" i="31"/>
  <c r="J6" i="31"/>
  <c r="D6" i="31"/>
  <c r="J5" i="31"/>
  <c r="D5" i="31"/>
  <c r="I4" i="31"/>
  <c r="J4" i="31" s="1"/>
  <c r="J7" i="31" s="1"/>
  <c r="D4" i="31"/>
  <c r="J3" i="31"/>
  <c r="D3" i="31"/>
  <c r="D9" i="31" s="1"/>
  <c r="D21" i="30"/>
  <c r="D19" i="30"/>
  <c r="D17" i="30"/>
  <c r="D16" i="30"/>
  <c r="D15" i="30"/>
  <c r="D11" i="30"/>
  <c r="I10" i="30"/>
  <c r="J10" i="30" s="1"/>
  <c r="J11" i="30" s="1"/>
  <c r="K11" i="30" s="1"/>
  <c r="D10" i="30"/>
  <c r="J9" i="30"/>
  <c r="D9" i="30"/>
  <c r="D7" i="30"/>
  <c r="J6" i="30"/>
  <c r="D6" i="30"/>
  <c r="J5" i="30"/>
  <c r="D5" i="30"/>
  <c r="I4" i="30"/>
  <c r="J4" i="30" s="1"/>
  <c r="D4" i="30"/>
  <c r="J3" i="30"/>
  <c r="D3" i="30"/>
  <c r="D16" i="28"/>
  <c r="D6" i="28"/>
  <c r="D31" i="28"/>
  <c r="D29" i="28"/>
  <c r="D27" i="28"/>
  <c r="D25" i="28"/>
  <c r="D21" i="28"/>
  <c r="D19" i="28"/>
  <c r="D17" i="28"/>
  <c r="D15" i="28"/>
  <c r="D11" i="28"/>
  <c r="I10" i="28"/>
  <c r="J10" i="28" s="1"/>
  <c r="D10" i="28"/>
  <c r="J9" i="28"/>
  <c r="D9" i="28"/>
  <c r="D7" i="28"/>
  <c r="J6" i="28"/>
  <c r="J5" i="28"/>
  <c r="D5" i="28"/>
  <c r="I4" i="28"/>
  <c r="J4" i="28" s="1"/>
  <c r="D4" i="28"/>
  <c r="J3" i="28"/>
  <c r="D3" i="28"/>
  <c r="D21" i="27"/>
  <c r="D19" i="27"/>
  <c r="D17" i="27"/>
  <c r="D15" i="27"/>
  <c r="D11" i="27"/>
  <c r="I10" i="27"/>
  <c r="J10" i="27" s="1"/>
  <c r="J11" i="27" s="1"/>
  <c r="K11" i="27" s="1"/>
  <c r="D10" i="27"/>
  <c r="J9" i="27"/>
  <c r="D9" i="27"/>
  <c r="D7" i="27"/>
  <c r="J6" i="27"/>
  <c r="J5" i="27"/>
  <c r="D5" i="27"/>
  <c r="I4" i="27"/>
  <c r="J4" i="27" s="1"/>
  <c r="J7" i="27" s="1"/>
  <c r="D4" i="27"/>
  <c r="J3" i="27"/>
  <c r="D3" i="27"/>
  <c r="D31" i="26"/>
  <c r="D29" i="26"/>
  <c r="D27" i="26"/>
  <c r="D25" i="26"/>
  <c r="D21" i="26"/>
  <c r="D19" i="26"/>
  <c r="D17" i="26"/>
  <c r="D16" i="26"/>
  <c r="D15" i="26"/>
  <c r="D11" i="26"/>
  <c r="I10" i="26"/>
  <c r="J10" i="26" s="1"/>
  <c r="J11" i="26" s="1"/>
  <c r="K11" i="26" s="1"/>
  <c r="D10" i="26"/>
  <c r="J9" i="26"/>
  <c r="D9" i="26"/>
  <c r="D7" i="26"/>
  <c r="J6" i="26"/>
  <c r="D6" i="26"/>
  <c r="J5" i="26"/>
  <c r="D5" i="26"/>
  <c r="I4" i="26"/>
  <c r="J4" i="26" s="1"/>
  <c r="J7" i="26" s="1"/>
  <c r="D4" i="26"/>
  <c r="J3" i="26"/>
  <c r="D3" i="26"/>
  <c r="D31" i="25"/>
  <c r="D29" i="25"/>
  <c r="D27" i="25"/>
  <c r="D25" i="25"/>
  <c r="D21" i="25"/>
  <c r="D19" i="25"/>
  <c r="D17" i="25"/>
  <c r="D16" i="25"/>
  <c r="D15" i="25"/>
  <c r="D11" i="25"/>
  <c r="I10" i="25"/>
  <c r="J10" i="25" s="1"/>
  <c r="D10" i="25"/>
  <c r="J9" i="25"/>
  <c r="D9" i="25"/>
  <c r="D7" i="25"/>
  <c r="J6" i="25"/>
  <c r="D6" i="25"/>
  <c r="J5" i="25"/>
  <c r="D5" i="25"/>
  <c r="I4" i="25"/>
  <c r="J4" i="25" s="1"/>
  <c r="J7" i="25" s="1"/>
  <c r="D4" i="25"/>
  <c r="J3" i="25"/>
  <c r="D3" i="25"/>
  <c r="D41" i="24"/>
  <c r="D39" i="24"/>
  <c r="D37" i="24"/>
  <c r="D35" i="24"/>
  <c r="D31" i="24"/>
  <c r="D29" i="24"/>
  <c r="D27" i="24"/>
  <c r="D25" i="24"/>
  <c r="D21" i="24"/>
  <c r="D19" i="24"/>
  <c r="D17" i="24"/>
  <c r="D15" i="24"/>
  <c r="D11" i="24"/>
  <c r="I10" i="24"/>
  <c r="J10" i="24" s="1"/>
  <c r="J11" i="24" s="1"/>
  <c r="K11" i="24" s="1"/>
  <c r="D10" i="24"/>
  <c r="J9" i="24"/>
  <c r="D9" i="24"/>
  <c r="D7" i="24"/>
  <c r="J6" i="24"/>
  <c r="D6" i="24"/>
  <c r="J5" i="24"/>
  <c r="D5" i="24"/>
  <c r="I4" i="24"/>
  <c r="J4" i="24" s="1"/>
  <c r="D4" i="24"/>
  <c r="J3" i="24"/>
  <c r="D3" i="24"/>
  <c r="D5" i="23"/>
  <c r="D11" i="20"/>
  <c r="D41" i="23"/>
  <c r="D39" i="23"/>
  <c r="D37" i="23"/>
  <c r="D35" i="23"/>
  <c r="D31" i="23"/>
  <c r="D29" i="23"/>
  <c r="D27" i="23"/>
  <c r="D25" i="23"/>
  <c r="D21" i="23"/>
  <c r="D19" i="23"/>
  <c r="D17" i="23"/>
  <c r="D15" i="23"/>
  <c r="D11" i="23"/>
  <c r="I10" i="23"/>
  <c r="J10" i="23" s="1"/>
  <c r="D10" i="23"/>
  <c r="J9" i="23"/>
  <c r="D9" i="23"/>
  <c r="D7" i="23"/>
  <c r="J6" i="23"/>
  <c r="D6" i="23"/>
  <c r="J5" i="23"/>
  <c r="I4" i="23"/>
  <c r="J4" i="23" s="1"/>
  <c r="D4" i="23"/>
  <c r="J3" i="23"/>
  <c r="D3" i="23"/>
  <c r="D7" i="22"/>
  <c r="D8" i="22"/>
  <c r="D5" i="22"/>
  <c r="D6" i="22"/>
  <c r="I10" i="22"/>
  <c r="J10" i="22" s="1"/>
  <c r="J9" i="22"/>
  <c r="J6" i="22"/>
  <c r="J5" i="22"/>
  <c r="I4" i="22"/>
  <c r="J4" i="22" s="1"/>
  <c r="D4" i="22"/>
  <c r="J3" i="22"/>
  <c r="D3" i="22"/>
  <c r="D41" i="21"/>
  <c r="D39" i="21"/>
  <c r="D37" i="21"/>
  <c r="D35" i="21"/>
  <c r="D31" i="21"/>
  <c r="D29" i="21"/>
  <c r="D27" i="21"/>
  <c r="D25" i="21"/>
  <c r="D21" i="21"/>
  <c r="D19" i="21"/>
  <c r="D17" i="21"/>
  <c r="D16" i="21"/>
  <c r="D15" i="21"/>
  <c r="D11" i="21"/>
  <c r="I10" i="21"/>
  <c r="J10" i="21" s="1"/>
  <c r="D10" i="21"/>
  <c r="J9" i="21"/>
  <c r="D9" i="21"/>
  <c r="D7" i="21"/>
  <c r="J6" i="21"/>
  <c r="D6" i="21"/>
  <c r="J5" i="21"/>
  <c r="D5" i="21"/>
  <c r="I4" i="21"/>
  <c r="J4" i="21" s="1"/>
  <c r="J7" i="21" s="1"/>
  <c r="D4" i="21"/>
  <c r="J3" i="21"/>
  <c r="D3" i="21"/>
  <c r="D31" i="20"/>
  <c r="D29" i="20"/>
  <c r="D27" i="20"/>
  <c r="D25" i="20"/>
  <c r="D21" i="20"/>
  <c r="D19" i="20"/>
  <c r="D17" i="20"/>
  <c r="D16" i="20"/>
  <c r="D15" i="20"/>
  <c r="I10" i="20"/>
  <c r="J10" i="20" s="1"/>
  <c r="D10" i="20"/>
  <c r="J9" i="20"/>
  <c r="D9" i="20"/>
  <c r="D7" i="20"/>
  <c r="J6" i="20"/>
  <c r="D6" i="20"/>
  <c r="J5" i="20"/>
  <c r="D5" i="20"/>
  <c r="I4" i="20"/>
  <c r="J4" i="20" s="1"/>
  <c r="D4" i="20"/>
  <c r="J3" i="20"/>
  <c r="D3" i="20"/>
  <c r="D41" i="19"/>
  <c r="D39" i="19"/>
  <c r="D37" i="19"/>
  <c r="D35" i="19"/>
  <c r="D31" i="19"/>
  <c r="D29" i="19"/>
  <c r="D27" i="19"/>
  <c r="D25" i="19"/>
  <c r="D21" i="19"/>
  <c r="D19" i="19"/>
  <c r="D17" i="19"/>
  <c r="D15" i="19"/>
  <c r="D11" i="19"/>
  <c r="I10" i="19"/>
  <c r="J10" i="19" s="1"/>
  <c r="D10" i="19"/>
  <c r="J9" i="19"/>
  <c r="D9" i="19"/>
  <c r="D7" i="19"/>
  <c r="J6" i="19"/>
  <c r="J5" i="19"/>
  <c r="D5" i="19"/>
  <c r="I4" i="19"/>
  <c r="J4" i="19" s="1"/>
  <c r="J7" i="19" s="1"/>
  <c r="D4" i="19"/>
  <c r="J3" i="19"/>
  <c r="D3" i="19"/>
  <c r="D41" i="18"/>
  <c r="D39" i="18"/>
  <c r="D37" i="18"/>
  <c r="D35" i="18"/>
  <c r="D31" i="18"/>
  <c r="D29" i="18"/>
  <c r="D27" i="18"/>
  <c r="D25" i="18"/>
  <c r="D21" i="18"/>
  <c r="D19" i="18"/>
  <c r="D17" i="18"/>
  <c r="D15" i="18"/>
  <c r="D11" i="18"/>
  <c r="I10" i="18"/>
  <c r="J10" i="18" s="1"/>
  <c r="J11" i="18" s="1"/>
  <c r="K11" i="18" s="1"/>
  <c r="D10" i="18"/>
  <c r="J9" i="18"/>
  <c r="D9" i="18"/>
  <c r="D7" i="18"/>
  <c r="J6" i="18"/>
  <c r="J5" i="18"/>
  <c r="D5" i="18"/>
  <c r="I4" i="18"/>
  <c r="J4" i="18" s="1"/>
  <c r="D4" i="18"/>
  <c r="J3" i="18"/>
  <c r="D3" i="18"/>
  <c r="J9" i="15"/>
  <c r="J5" i="15"/>
  <c r="J6" i="15"/>
  <c r="J3" i="15"/>
  <c r="I10" i="15"/>
  <c r="J10" i="15" s="1"/>
  <c r="I4" i="15"/>
  <c r="J4" i="15" s="1"/>
  <c r="Q21" i="10" l="1"/>
  <c r="R20" i="10"/>
  <c r="J11" i="32"/>
  <c r="K11" i="32" s="1"/>
  <c r="D20" i="33"/>
  <c r="D22" i="33" s="1"/>
  <c r="E22" i="33" s="1"/>
  <c r="D26" i="34"/>
  <c r="D12" i="33"/>
  <c r="D40" i="33"/>
  <c r="D42" i="33" s="1"/>
  <c r="E42" i="33" s="1"/>
  <c r="D30" i="33"/>
  <c r="D32" i="33" s="1"/>
  <c r="E32" i="33" s="1"/>
  <c r="E12" i="33"/>
  <c r="J16" i="33"/>
  <c r="J7" i="32"/>
  <c r="J16" i="32" s="1"/>
  <c r="D12" i="32"/>
  <c r="J15" i="32" s="1"/>
  <c r="J21" i="32" s="1"/>
  <c r="D20" i="30"/>
  <c r="D22" i="30" s="1"/>
  <c r="E22" i="30" s="1"/>
  <c r="J7" i="30"/>
  <c r="J16" i="30" s="1"/>
  <c r="J16" i="31"/>
  <c r="D12" i="31"/>
  <c r="D8" i="25"/>
  <c r="D12" i="25" s="1"/>
  <c r="E12" i="25" s="1"/>
  <c r="D8" i="30"/>
  <c r="D12" i="30" s="1"/>
  <c r="D20" i="27"/>
  <c r="D22" i="27" s="1"/>
  <c r="E22" i="27" s="1"/>
  <c r="D8" i="28"/>
  <c r="D12" i="28" s="1"/>
  <c r="E12" i="28" s="1"/>
  <c r="J7" i="28"/>
  <c r="J11" i="28"/>
  <c r="K11" i="28" s="1"/>
  <c r="D30" i="25"/>
  <c r="D32" i="25" s="1"/>
  <c r="E32" i="25" s="1"/>
  <c r="D20" i="28"/>
  <c r="D22" i="28" s="1"/>
  <c r="E22" i="28" s="1"/>
  <c r="D30" i="28"/>
  <c r="D32" i="28" s="1"/>
  <c r="E32" i="28" s="1"/>
  <c r="D8" i="27"/>
  <c r="D12" i="27" s="1"/>
  <c r="E12" i="27" s="1"/>
  <c r="J16" i="27"/>
  <c r="J7" i="23"/>
  <c r="D8" i="26"/>
  <c r="D12" i="26" s="1"/>
  <c r="E12" i="26" s="1"/>
  <c r="D20" i="26"/>
  <c r="D22" i="26" s="1"/>
  <c r="E22" i="26" s="1"/>
  <c r="D30" i="26"/>
  <c r="D32" i="26" s="1"/>
  <c r="E32" i="26" s="1"/>
  <c r="J16" i="26"/>
  <c r="J11" i="25"/>
  <c r="K11" i="25" s="1"/>
  <c r="D30" i="21"/>
  <c r="D32" i="21" s="1"/>
  <c r="E32" i="21" s="1"/>
  <c r="D8" i="24"/>
  <c r="D12" i="24" s="1"/>
  <c r="E12" i="24" s="1"/>
  <c r="D20" i="25"/>
  <c r="D22" i="25" s="1"/>
  <c r="E22" i="25" s="1"/>
  <c r="D30" i="23"/>
  <c r="D32" i="23" s="1"/>
  <c r="E32" i="23" s="1"/>
  <c r="D30" i="24"/>
  <c r="D32" i="24" s="1"/>
  <c r="E32" i="24" s="1"/>
  <c r="J11" i="23"/>
  <c r="K11" i="23" s="1"/>
  <c r="D40" i="23"/>
  <c r="D42" i="23" s="1"/>
  <c r="E42" i="23" s="1"/>
  <c r="D20" i="24"/>
  <c r="D22" i="24" s="1"/>
  <c r="E22" i="24" s="1"/>
  <c r="D40" i="24"/>
  <c r="D42" i="24" s="1"/>
  <c r="E42" i="24" s="1"/>
  <c r="J7" i="24"/>
  <c r="D8" i="23"/>
  <c r="D12" i="23" s="1"/>
  <c r="E12" i="23" s="1"/>
  <c r="D20" i="23"/>
  <c r="D22" i="23" s="1"/>
  <c r="E22" i="23" s="1"/>
  <c r="D40" i="21"/>
  <c r="D42" i="21" s="1"/>
  <c r="E42" i="21" s="1"/>
  <c r="D9" i="22"/>
  <c r="D12" i="22" s="1"/>
  <c r="E12" i="22" s="1"/>
  <c r="J7" i="22"/>
  <c r="J11" i="22"/>
  <c r="K11" i="22" s="1"/>
  <c r="J11" i="21"/>
  <c r="K11" i="21" s="1"/>
  <c r="D8" i="21"/>
  <c r="D12" i="21" s="1"/>
  <c r="E12" i="21" s="1"/>
  <c r="D20" i="21"/>
  <c r="D22" i="21" s="1"/>
  <c r="E22" i="21" s="1"/>
  <c r="D30" i="19"/>
  <c r="D32" i="19" s="1"/>
  <c r="E32" i="19" s="1"/>
  <c r="J11" i="20"/>
  <c r="K11" i="20" s="1"/>
  <c r="D20" i="19"/>
  <c r="D22" i="19" s="1"/>
  <c r="D30" i="20"/>
  <c r="D32" i="20" s="1"/>
  <c r="E32" i="20" s="1"/>
  <c r="D8" i="20"/>
  <c r="D12" i="20" s="1"/>
  <c r="D20" i="20"/>
  <c r="D22" i="20" s="1"/>
  <c r="E22" i="20" s="1"/>
  <c r="J7" i="20"/>
  <c r="D8" i="19"/>
  <c r="D12" i="19" s="1"/>
  <c r="E12" i="19" s="1"/>
  <c r="D40" i="19"/>
  <c r="D42" i="19" s="1"/>
  <c r="E42" i="19" s="1"/>
  <c r="J11" i="19"/>
  <c r="K11" i="19" s="1"/>
  <c r="D30" i="18"/>
  <c r="D32" i="18" s="1"/>
  <c r="E32" i="18" s="1"/>
  <c r="J7" i="18"/>
  <c r="J16" i="18" s="1"/>
  <c r="D40" i="18"/>
  <c r="D42" i="18" s="1"/>
  <c r="E42" i="18" s="1"/>
  <c r="D20" i="18"/>
  <c r="D22" i="18" s="1"/>
  <c r="E22" i="18" s="1"/>
  <c r="D8" i="18"/>
  <c r="D12" i="18" s="1"/>
  <c r="E12" i="18" s="1"/>
  <c r="D5" i="15"/>
  <c r="D37" i="15"/>
  <c r="D27" i="15"/>
  <c r="D17" i="15"/>
  <c r="D6" i="15"/>
  <c r="D16" i="15"/>
  <c r="D4" i="15"/>
  <c r="D41" i="15"/>
  <c r="D31" i="15"/>
  <c r="D21" i="15"/>
  <c r="D10" i="15"/>
  <c r="D9" i="15"/>
  <c r="D39" i="15"/>
  <c r="D35" i="15"/>
  <c r="D29" i="15"/>
  <c r="D25" i="15"/>
  <c r="D15" i="15"/>
  <c r="D3" i="15"/>
  <c r="D19" i="15"/>
  <c r="D7" i="15"/>
  <c r="S27" i="13"/>
  <c r="O27" i="13"/>
  <c r="K27" i="13"/>
  <c r="G27" i="13"/>
  <c r="C27" i="13"/>
  <c r="K27" i="12"/>
  <c r="O27" i="12"/>
  <c r="G27" i="12"/>
  <c r="C27" i="12"/>
  <c r="G27" i="11"/>
  <c r="C27" i="11"/>
  <c r="K27" i="10"/>
  <c r="G27" i="10"/>
  <c r="C27" i="10"/>
  <c r="K27" i="9"/>
  <c r="G27" i="9"/>
  <c r="C27" i="9"/>
  <c r="O27" i="8"/>
  <c r="K27" i="8"/>
  <c r="G27" i="8"/>
  <c r="C27" i="8"/>
  <c r="R21" i="10" l="1"/>
  <c r="Q22" i="10"/>
  <c r="J15" i="33"/>
  <c r="K19" i="33" s="1"/>
  <c r="J23" i="32"/>
  <c r="K23" i="32" s="1"/>
  <c r="K21" i="32"/>
  <c r="E12" i="32"/>
  <c r="J15" i="30"/>
  <c r="J19" i="30" s="1"/>
  <c r="E12" i="30"/>
  <c r="J19" i="32"/>
  <c r="K15" i="32"/>
  <c r="K16" i="32"/>
  <c r="K7" i="32"/>
  <c r="J16" i="28"/>
  <c r="K19" i="32"/>
  <c r="E12" i="31"/>
  <c r="J15" i="31"/>
  <c r="K16" i="31" s="1"/>
  <c r="J15" i="28"/>
  <c r="K7" i="28" s="1"/>
  <c r="J15" i="27"/>
  <c r="K15" i="27" s="1"/>
  <c r="J16" i="25"/>
  <c r="J15" i="26"/>
  <c r="K7" i="26" s="1"/>
  <c r="J15" i="25"/>
  <c r="J16" i="23"/>
  <c r="J15" i="24"/>
  <c r="K7" i="24" s="1"/>
  <c r="J16" i="24"/>
  <c r="J16" i="21"/>
  <c r="J15" i="23"/>
  <c r="K19" i="23" s="1"/>
  <c r="E12" i="20"/>
  <c r="J15" i="20"/>
  <c r="J21" i="20" s="1"/>
  <c r="J16" i="22"/>
  <c r="J15" i="22"/>
  <c r="J19" i="22" s="1"/>
  <c r="J15" i="21"/>
  <c r="K19" i="21" s="1"/>
  <c r="E22" i="19"/>
  <c r="J15" i="19"/>
  <c r="J21" i="19" s="1"/>
  <c r="J16" i="19"/>
  <c r="J16" i="20"/>
  <c r="J15" i="18"/>
  <c r="J19" i="18" s="1"/>
  <c r="D40" i="15"/>
  <c r="D42" i="15" s="1"/>
  <c r="E42" i="15" s="1"/>
  <c r="D30" i="15"/>
  <c r="D32" i="15" s="1"/>
  <c r="E32" i="15" s="1"/>
  <c r="D8" i="15"/>
  <c r="D12" i="15" s="1"/>
  <c r="E12" i="15" s="1"/>
  <c r="D20" i="15"/>
  <c r="D22" i="15" s="1"/>
  <c r="E22" i="15" s="1"/>
  <c r="Q23" i="10" l="1"/>
  <c r="Q24" i="10" s="1"/>
  <c r="R22" i="10"/>
  <c r="J21" i="33"/>
  <c r="J23" i="33" s="1"/>
  <c r="K23" i="33" s="1"/>
  <c r="J19" i="33"/>
  <c r="K15" i="33"/>
  <c r="K16" i="33"/>
  <c r="K7" i="33"/>
  <c r="K19" i="30"/>
  <c r="K16" i="30"/>
  <c r="K17" i="30" s="1"/>
  <c r="J21" i="30"/>
  <c r="K7" i="30"/>
  <c r="K15" i="30"/>
  <c r="K17" i="32"/>
  <c r="K15" i="31"/>
  <c r="K17" i="31" s="1"/>
  <c r="J19" i="31"/>
  <c r="K19" i="31"/>
  <c r="K7" i="31"/>
  <c r="J23" i="30"/>
  <c r="K23" i="30" s="1"/>
  <c r="K21" i="30"/>
  <c r="K19" i="28"/>
  <c r="K16" i="28"/>
  <c r="K15" i="28"/>
  <c r="J21" i="28"/>
  <c r="K21" i="28" s="1"/>
  <c r="J19" i="28"/>
  <c r="J21" i="27"/>
  <c r="J23" i="27" s="1"/>
  <c r="K23" i="27" s="1"/>
  <c r="K16" i="27"/>
  <c r="K17" i="27" s="1"/>
  <c r="J19" i="27"/>
  <c r="K7" i="27"/>
  <c r="K19" i="27"/>
  <c r="K16" i="25"/>
  <c r="K19" i="26"/>
  <c r="K15" i="26"/>
  <c r="J21" i="26"/>
  <c r="K21" i="26" s="1"/>
  <c r="J19" i="26"/>
  <c r="K16" i="26"/>
  <c r="K7" i="25"/>
  <c r="K15" i="25"/>
  <c r="K19" i="25"/>
  <c r="J19" i="25"/>
  <c r="J21" i="25"/>
  <c r="K21" i="25" s="1"/>
  <c r="K16" i="24"/>
  <c r="K15" i="24"/>
  <c r="J19" i="24"/>
  <c r="J21" i="24"/>
  <c r="K21" i="24" s="1"/>
  <c r="K19" i="24"/>
  <c r="K7" i="23"/>
  <c r="J19" i="23"/>
  <c r="K16" i="23"/>
  <c r="K15" i="23"/>
  <c r="J21" i="23"/>
  <c r="K21" i="23" s="1"/>
  <c r="K19" i="22"/>
  <c r="J21" i="22"/>
  <c r="J23" i="22" s="1"/>
  <c r="K23" i="22" s="1"/>
  <c r="K16" i="22"/>
  <c r="K15" i="22"/>
  <c r="K7" i="22"/>
  <c r="K16" i="21"/>
  <c r="J19" i="21"/>
  <c r="K15" i="21"/>
  <c r="J21" i="21"/>
  <c r="K21" i="21" s="1"/>
  <c r="K7" i="21"/>
  <c r="K19" i="19"/>
  <c r="K7" i="19"/>
  <c r="J19" i="19"/>
  <c r="K15" i="19"/>
  <c r="K16" i="19"/>
  <c r="K16" i="20"/>
  <c r="K19" i="20"/>
  <c r="K7" i="20"/>
  <c r="J19" i="20"/>
  <c r="K15" i="20"/>
  <c r="K21" i="20"/>
  <c r="J23" i="20"/>
  <c r="K23" i="20" s="1"/>
  <c r="K21" i="19"/>
  <c r="J23" i="19"/>
  <c r="K23" i="19" s="1"/>
  <c r="K16" i="18"/>
  <c r="K15" i="18"/>
  <c r="J21" i="18"/>
  <c r="J23" i="18" s="1"/>
  <c r="K23" i="18" s="1"/>
  <c r="K19" i="18"/>
  <c r="K7" i="18"/>
  <c r="J15" i="15"/>
  <c r="K17" i="33" l="1"/>
  <c r="K21" i="33"/>
  <c r="J23" i="28"/>
  <c r="K23" i="28" s="1"/>
  <c r="K17" i="28"/>
  <c r="K17" i="25"/>
  <c r="K21" i="27"/>
  <c r="J23" i="24"/>
  <c r="K23" i="24" s="1"/>
  <c r="K17" i="24"/>
  <c r="K17" i="26"/>
  <c r="J23" i="26"/>
  <c r="K23" i="26" s="1"/>
  <c r="J23" i="25"/>
  <c r="K23" i="25" s="1"/>
  <c r="J23" i="23"/>
  <c r="K23" i="23" s="1"/>
  <c r="K17" i="23"/>
  <c r="K21" i="22"/>
  <c r="K17" i="22"/>
  <c r="J23" i="21"/>
  <c r="K23" i="21" s="1"/>
  <c r="K17" i="21"/>
  <c r="K17" i="19"/>
  <c r="K17" i="20"/>
  <c r="K21" i="18"/>
  <c r="K17" i="18"/>
  <c r="J19" i="15"/>
  <c r="J21" i="15"/>
  <c r="K21" i="15" s="1"/>
  <c r="K15" i="15"/>
  <c r="J11" i="15" l="1"/>
  <c r="J7" i="15"/>
  <c r="K19" i="15" s="1"/>
  <c r="K7" i="15" l="1"/>
  <c r="J16" i="15"/>
  <c r="K16" i="15" s="1"/>
  <c r="K11" i="15"/>
  <c r="K17" i="15" l="1"/>
  <c r="J23" i="15" l="1"/>
  <c r="K23" i="15" s="1"/>
</calcChain>
</file>

<file path=xl/sharedStrings.xml><?xml version="1.0" encoding="utf-8"?>
<sst xmlns="http://schemas.openxmlformats.org/spreadsheetml/2006/main" count="2310" uniqueCount="558">
  <si>
    <t>Manufacturing</t>
  </si>
  <si>
    <t>Distribution</t>
  </si>
  <si>
    <t>Input</t>
  </si>
  <si>
    <t>Output</t>
  </si>
  <si>
    <t>Commuters</t>
  </si>
  <si>
    <t>General</t>
  </si>
  <si>
    <t>Passengers</t>
  </si>
  <si>
    <t>Tourists</t>
  </si>
  <si>
    <t>Offshore</t>
  </si>
  <si>
    <t>Eng Supplies</t>
  </si>
  <si>
    <t>Fish</t>
  </si>
  <si>
    <t>Oil</t>
  </si>
  <si>
    <t>Sand</t>
  </si>
  <si>
    <t>Extraction</t>
  </si>
  <si>
    <t>Coal</t>
  </si>
  <si>
    <t>Iron Ore</t>
  </si>
  <si>
    <t>Bauxite</t>
  </si>
  <si>
    <t>Farm Supplies</t>
  </si>
  <si>
    <t>Fibre Crops</t>
  </si>
  <si>
    <t>Livestock</t>
  </si>
  <si>
    <t>Wood</t>
  </si>
  <si>
    <t>Processing</t>
  </si>
  <si>
    <t>Cement</t>
  </si>
  <si>
    <t>Fertilizer</t>
  </si>
  <si>
    <t>Petrochemicals</t>
  </si>
  <si>
    <t>Building Materials</t>
  </si>
  <si>
    <t>Wood Products</t>
  </si>
  <si>
    <t>Farms</t>
  </si>
  <si>
    <t>Paper</t>
  </si>
  <si>
    <t>Glass</t>
  </si>
  <si>
    <t>Plastic</t>
  </si>
  <si>
    <t>Fertlizer</t>
  </si>
  <si>
    <t>Potash</t>
  </si>
  <si>
    <t>Goods</t>
  </si>
  <si>
    <t>Food</t>
  </si>
  <si>
    <t>Mail</t>
  </si>
  <si>
    <t>Parcels</t>
  </si>
  <si>
    <t>Vehicles</t>
  </si>
  <si>
    <t>Textiles</t>
  </si>
  <si>
    <t>Retail</t>
  </si>
  <si>
    <t>Services</t>
  </si>
  <si>
    <t>Valuables</t>
  </si>
  <si>
    <t>Residential</t>
  </si>
  <si>
    <t>Power Generation</t>
  </si>
  <si>
    <t>Grain</t>
  </si>
  <si>
    <t>Milk</t>
  </si>
  <si>
    <t>Wool</t>
  </si>
  <si>
    <t>Marine Supplies</t>
  </si>
  <si>
    <t>Manufacturing Supplies</t>
  </si>
  <si>
    <t>Seafood</t>
  </si>
  <si>
    <t>Plant Fibres</t>
  </si>
  <si>
    <t>Chemicals</t>
  </si>
  <si>
    <t>Reclamation</t>
  </si>
  <si>
    <t>Recycling</t>
  </si>
  <si>
    <t>Disposal</t>
  </si>
  <si>
    <t>Waste</t>
  </si>
  <si>
    <t>Nuclear Waste</t>
  </si>
  <si>
    <t>Uranium</t>
  </si>
  <si>
    <t>Nuclear Fuels</t>
  </si>
  <si>
    <t>Alcohol</t>
  </si>
  <si>
    <t>OpenTTD Name</t>
  </si>
  <si>
    <t>Label</t>
  </si>
  <si>
    <t>STR Name</t>
  </si>
  <si>
    <t>Aggregates</t>
  </si>
  <si>
    <t>Fruit and Vegetables</t>
  </si>
  <si>
    <t>Fertiliser</t>
  </si>
  <si>
    <t>Engineering Supplies</t>
  </si>
  <si>
    <t>Logs</t>
  </si>
  <si>
    <t>Workers</t>
  </si>
  <si>
    <t>PASS</t>
  </si>
  <si>
    <t>TOUR</t>
  </si>
  <si>
    <t>MAIL</t>
  </si>
  <si>
    <t>SAND</t>
  </si>
  <si>
    <t>COAL</t>
  </si>
  <si>
    <t>POTA</t>
  </si>
  <si>
    <t>URAN</t>
  </si>
  <si>
    <t>WOOL</t>
  </si>
  <si>
    <t>MILK</t>
  </si>
  <si>
    <t>CHEM</t>
  </si>
  <si>
    <t>PETR</t>
  </si>
  <si>
    <t>GLAS</t>
  </si>
  <si>
    <t>PLAS</t>
  </si>
  <si>
    <t>FERT</t>
  </si>
  <si>
    <t>TEXT</t>
  </si>
  <si>
    <t>GOOD</t>
  </si>
  <si>
    <t>VEHI</t>
  </si>
  <si>
    <t>PCL_</t>
  </si>
  <si>
    <t>FISH</t>
  </si>
  <si>
    <t>Crude Oil</t>
  </si>
  <si>
    <t>OIL_</t>
  </si>
  <si>
    <t>Stone</t>
  </si>
  <si>
    <t>GRVL</t>
  </si>
  <si>
    <t>IORE</t>
  </si>
  <si>
    <t>AORE</t>
  </si>
  <si>
    <t>FICR</t>
  </si>
  <si>
    <t>Fruit</t>
  </si>
  <si>
    <t>FRUT</t>
  </si>
  <si>
    <t>PAPR</t>
  </si>
  <si>
    <t>LVST</t>
  </si>
  <si>
    <t>CMNT</t>
  </si>
  <si>
    <t>WOOD</t>
  </si>
  <si>
    <t>Steel</t>
  </si>
  <si>
    <t>STEL</t>
  </si>
  <si>
    <t>Refined Products</t>
  </si>
  <si>
    <t>RFPR</t>
  </si>
  <si>
    <t xml:space="preserve">Petrol </t>
  </si>
  <si>
    <t>Glass Products</t>
  </si>
  <si>
    <t>Paper Products</t>
  </si>
  <si>
    <t>WDPR</t>
  </si>
  <si>
    <t>Nuclear Fuel</t>
  </si>
  <si>
    <t>Textile</t>
  </si>
  <si>
    <t>NUKF</t>
  </si>
  <si>
    <t>Recyclables</t>
  </si>
  <si>
    <t>RCYC</t>
  </si>
  <si>
    <t>WSTE</t>
  </si>
  <si>
    <t>FOOD</t>
  </si>
  <si>
    <t>BEER</t>
  </si>
  <si>
    <t>FMSP</t>
  </si>
  <si>
    <t>ENSP</t>
  </si>
  <si>
    <t>Construction Materials</t>
  </si>
  <si>
    <t>BDMT</t>
  </si>
  <si>
    <t>SESP</t>
  </si>
  <si>
    <t>MNSP</t>
  </si>
  <si>
    <t>VALU</t>
  </si>
  <si>
    <t>NUKW</t>
  </si>
  <si>
    <t>Copper Ore</t>
  </si>
  <si>
    <t>CORE</t>
  </si>
  <si>
    <t>Chemical Products</t>
  </si>
  <si>
    <t>Plastic Products</t>
  </si>
  <si>
    <t>Cereals and Grains</t>
  </si>
  <si>
    <t>Petroleum Fuels</t>
  </si>
  <si>
    <t>#</t>
  </si>
  <si>
    <t>Tiny</t>
  </si>
  <si>
    <t>GRAI</t>
  </si>
  <si>
    <t>Price</t>
  </si>
  <si>
    <t>OTIS Category</t>
  </si>
  <si>
    <t>Industry</t>
  </si>
  <si>
    <t>Category</t>
  </si>
  <si>
    <t>ID</t>
  </si>
  <si>
    <t>Map Colour</t>
  </si>
  <si>
    <t>Mines and Quarries</t>
  </si>
  <si>
    <t>Farms and Forestry</t>
  </si>
  <si>
    <t>05</t>
  </si>
  <si>
    <t>06</t>
  </si>
  <si>
    <t>08</t>
  </si>
  <si>
    <t>IN NML</t>
  </si>
  <si>
    <t>Fishing Offshore</t>
  </si>
  <si>
    <t>Supplies</t>
  </si>
  <si>
    <t>Heavy Ind</t>
  </si>
  <si>
    <t>03</t>
  </si>
  <si>
    <t>Manufacturing_Ind</t>
  </si>
  <si>
    <t>Shopping Centres</t>
  </si>
  <si>
    <t>01</t>
  </si>
  <si>
    <t>04</t>
  </si>
  <si>
    <t>Utility Comp</t>
  </si>
  <si>
    <t>07</t>
  </si>
  <si>
    <t>09</t>
  </si>
  <si>
    <t>10</t>
  </si>
  <si>
    <t xml:space="preserve">Food Processing </t>
  </si>
  <si>
    <t>11</t>
  </si>
  <si>
    <t>12</t>
  </si>
  <si>
    <t>13</t>
  </si>
  <si>
    <t>14</t>
  </si>
  <si>
    <t>15</t>
  </si>
  <si>
    <t>People and Places</t>
  </si>
  <si>
    <t>16</t>
  </si>
  <si>
    <t>17</t>
  </si>
  <si>
    <t>Enrichment</t>
  </si>
  <si>
    <t>Common Cargos</t>
  </si>
  <si>
    <t>Metal Recycling</t>
  </si>
  <si>
    <t>Glass Recycling</t>
  </si>
  <si>
    <t>Plastic Recycling</t>
  </si>
  <si>
    <t>Paper Recycling</t>
  </si>
  <si>
    <t>Packaging</t>
  </si>
  <si>
    <t>COMM</t>
  </si>
  <si>
    <t>PACK</t>
  </si>
  <si>
    <t>SCMT</t>
  </si>
  <si>
    <t>RPLA</t>
  </si>
  <si>
    <t>RGLA</t>
  </si>
  <si>
    <t>RPAP</t>
  </si>
  <si>
    <t>Electronics</t>
  </si>
  <si>
    <t>POWR</t>
  </si>
  <si>
    <t>Processing 2</t>
  </si>
  <si>
    <t>Aluminium</t>
  </si>
  <si>
    <t>Copper</t>
  </si>
  <si>
    <t>Industry Specific</t>
  </si>
  <si>
    <t>Cargo Count</t>
  </si>
  <si>
    <t>RECLAMATION</t>
  </si>
  <si>
    <t>ENRICHMENT</t>
  </si>
  <si>
    <t>COMPONENTS</t>
  </si>
  <si>
    <t>CONSUMER GOODS</t>
  </si>
  <si>
    <t>FOOD PROCESSING</t>
  </si>
  <si>
    <t>SUPPLIES</t>
  </si>
  <si>
    <t>OFFSHORE</t>
  </si>
  <si>
    <t>FARMS AND FORESTRIES</t>
  </si>
  <si>
    <t>MINES AND QUARRIES</t>
  </si>
  <si>
    <t>RETAIL</t>
  </si>
  <si>
    <t>RESIDENTIAL</t>
  </si>
  <si>
    <t>SERVICES</t>
  </si>
  <si>
    <t>POWER GENERATION</t>
  </si>
  <si>
    <t>DISPOSAL</t>
  </si>
  <si>
    <t>RAW &amp; PROCESSED MATERIALS</t>
  </si>
  <si>
    <t>MANUFACTURED GOODS</t>
  </si>
  <si>
    <t>PEOPLE AND PLACES</t>
  </si>
  <si>
    <t>ORGANIC MATERIAL</t>
  </si>
  <si>
    <t>Uranium Ore</t>
  </si>
  <si>
    <t>COPR</t>
  </si>
  <si>
    <t>ALUM</t>
  </si>
  <si>
    <t>NITR</t>
  </si>
  <si>
    <t>Nitrates</t>
  </si>
  <si>
    <t>Electrical Machines</t>
  </si>
  <si>
    <t>Batteries</t>
  </si>
  <si>
    <t>Lithium</t>
  </si>
  <si>
    <t>Mineral Ore</t>
  </si>
  <si>
    <t>LITH</t>
  </si>
  <si>
    <t>Power Cells</t>
  </si>
  <si>
    <t>ELEC</t>
  </si>
  <si>
    <t>Lithium Carbonate</t>
  </si>
  <si>
    <t>18</t>
  </si>
  <si>
    <t>19</t>
  </si>
  <si>
    <t>Component Manufacturing</t>
  </si>
  <si>
    <t>Consumer Goods Manufacturing</t>
  </si>
  <si>
    <t>20</t>
  </si>
  <si>
    <t>Food Processing</t>
  </si>
  <si>
    <t>Supply Manufacturing</t>
  </si>
  <si>
    <t>Raw and Processed Materials</t>
  </si>
  <si>
    <t>Organic Material</t>
  </si>
  <si>
    <t>Manufactured Goods</t>
  </si>
  <si>
    <t>21</t>
  </si>
  <si>
    <t>(1) Extraction</t>
  </si>
  <si>
    <t>(2) Processing</t>
  </si>
  <si>
    <t>(3) Manufacturing</t>
  </si>
  <si>
    <t>(4) Distribution</t>
  </si>
  <si>
    <t>(5) Utilities</t>
  </si>
  <si>
    <t>(6) Import &amp; Export</t>
  </si>
  <si>
    <t>MATERIAL PROCESSING #1</t>
  </si>
  <si>
    <t>MATERIAL PROCESSING #2</t>
  </si>
  <si>
    <t>Silicon</t>
  </si>
  <si>
    <t>SILI</t>
  </si>
  <si>
    <t>Recycled Glass</t>
  </si>
  <si>
    <t>Recycled Metal</t>
  </si>
  <si>
    <t>Recycled Paper</t>
  </si>
  <si>
    <t>Recycled Plastic</t>
  </si>
  <si>
    <t>MATERIAL PROCESSING #3</t>
  </si>
  <si>
    <t>Processing 1</t>
  </si>
  <si>
    <t>Processing 3</t>
  </si>
  <si>
    <t>Colour Code</t>
  </si>
  <si>
    <t>Green</t>
  </si>
  <si>
    <t>Colour ID</t>
  </si>
  <si>
    <t>Grey</t>
  </si>
  <si>
    <t>Penalty LB</t>
  </si>
  <si>
    <t>Single Pen</t>
  </si>
  <si>
    <t>Lilac Grey</t>
  </si>
  <si>
    <t>Orange</t>
  </si>
  <si>
    <t>Red</t>
  </si>
  <si>
    <t>Blue</t>
  </si>
  <si>
    <t>Light Blue</t>
  </si>
  <si>
    <t>White</t>
  </si>
  <si>
    <t>Tan</t>
  </si>
  <si>
    <t>PCLS</t>
  </si>
  <si>
    <t>Light Grey</t>
  </si>
  <si>
    <t>Clay</t>
  </si>
  <si>
    <t>PLNT</t>
  </si>
  <si>
    <t>FTVG</t>
  </si>
  <si>
    <t>Pale Blue</t>
  </si>
  <si>
    <t>Light Brown</t>
  </si>
  <si>
    <t>Brown</t>
  </si>
  <si>
    <t>LOGS</t>
  </si>
  <si>
    <t>02</t>
  </si>
  <si>
    <t>BAUX</t>
  </si>
  <si>
    <t>Black</t>
  </si>
  <si>
    <t>OILC</t>
  </si>
  <si>
    <t>AGGR</t>
  </si>
  <si>
    <t>Yellow</t>
  </si>
  <si>
    <t>CLAY</t>
  </si>
  <si>
    <t>Lilac</t>
  </si>
  <si>
    <t>Dark Grey</t>
  </si>
  <si>
    <t>Grey Pink</t>
  </si>
  <si>
    <t>MORE</t>
  </si>
  <si>
    <t>SEAF</t>
  </si>
  <si>
    <t>PCHM</t>
  </si>
  <si>
    <t>PTRL</t>
  </si>
  <si>
    <t>V Light Blue</t>
  </si>
  <si>
    <t>Light Green</t>
  </si>
  <si>
    <t>Bronze</t>
  </si>
  <si>
    <t>COPP</t>
  </si>
  <si>
    <t>Light Bronze</t>
  </si>
  <si>
    <t>Blue Grey</t>
  </si>
  <si>
    <t>RMET</t>
  </si>
  <si>
    <t>Pink</t>
  </si>
  <si>
    <t>NUFL</t>
  </si>
  <si>
    <t>Charcoal</t>
  </si>
  <si>
    <t>NUWS</t>
  </si>
  <si>
    <t>PWCL</t>
  </si>
  <si>
    <t>Purple</t>
  </si>
  <si>
    <t>ALCL</t>
  </si>
  <si>
    <t>Magenta</t>
  </si>
  <si>
    <t>Silver</t>
  </si>
  <si>
    <t>CNST</t>
  </si>
  <si>
    <t>FARM</t>
  </si>
  <si>
    <t>ENGS</t>
  </si>
  <si>
    <t>MARI</t>
  </si>
  <si>
    <t>Straw</t>
  </si>
  <si>
    <t>MANU</t>
  </si>
  <si>
    <t xml:space="preserve">Synergy </t>
  </si>
  <si>
    <t>Variables</t>
  </si>
  <si>
    <t>Prodtype</t>
  </si>
  <si>
    <t>Baseprod</t>
  </si>
  <si>
    <t>Synergy</t>
  </si>
  <si>
    <t>Base</t>
  </si>
  <si>
    <t>Synergy 1</t>
  </si>
  <si>
    <t>Synergy 2</t>
  </si>
  <si>
    <t>Synergy 3</t>
  </si>
  <si>
    <t>Total</t>
  </si>
  <si>
    <t>Stock Pile</t>
  </si>
  <si>
    <t>Cargo</t>
  </si>
  <si>
    <t>Levels</t>
  </si>
  <si>
    <t>Runs</t>
  </si>
  <si>
    <t>Production</t>
  </si>
  <si>
    <t>Consumption</t>
  </si>
  <si>
    <t>Commuter Boost</t>
  </si>
  <si>
    <t>ENSPboost</t>
  </si>
  <si>
    <t>Stockpile</t>
  </si>
  <si>
    <t>CONSUMPTION</t>
  </si>
  <si>
    <t>PRODUCTION BOOSTS</t>
  </si>
  <si>
    <t>PRODUCTION RUN</t>
  </si>
  <si>
    <t>From Base</t>
  </si>
  <si>
    <t>With Boost</t>
  </si>
  <si>
    <t>Petrochemicals AND/OR
Petroleum Fuels</t>
  </si>
  <si>
    <t>Wood Products
Paper Products</t>
  </si>
  <si>
    <t>Recycled Plastics</t>
  </si>
  <si>
    <t>Recycled Products</t>
  </si>
  <si>
    <t>First Cargo</t>
  </si>
  <si>
    <t>Second cargo</t>
  </si>
  <si>
    <t>Third cargo</t>
  </si>
  <si>
    <t>Brewery</t>
  </si>
  <si>
    <t>Cannery</t>
  </si>
  <si>
    <t>Cider Mill</t>
  </si>
  <si>
    <t xml:space="preserve">Dairy </t>
  </si>
  <si>
    <t>Grain Mill</t>
  </si>
  <si>
    <t>Food Processor</t>
  </si>
  <si>
    <t>Oil Refinery</t>
  </si>
  <si>
    <t>Aluminium Plant</t>
  </si>
  <si>
    <t>Iron Works</t>
  </si>
  <si>
    <t>Machine Shop</t>
  </si>
  <si>
    <t>Metal Fabrication</t>
  </si>
  <si>
    <t>Metal Workshop</t>
  </si>
  <si>
    <t>Smithy Forge</t>
  </si>
  <si>
    <t>Steel Mill</t>
  </si>
  <si>
    <t>Brick Works</t>
  </si>
  <si>
    <t>primary heavy</t>
  </si>
  <si>
    <t>primary medium</t>
  </si>
  <si>
    <t>primary low</t>
  </si>
  <si>
    <t>secondary high</t>
  </si>
  <si>
    <t>secondary low</t>
  </si>
  <si>
    <t>secondary medium</t>
  </si>
  <si>
    <t>support cargo</t>
  </si>
  <si>
    <t>commuter mechanic based on amount transported instead of stockpile?</t>
  </si>
  <si>
    <t>Fishing Grounds</t>
  </si>
  <si>
    <t>Dredging Site</t>
  </si>
  <si>
    <t>Oil Rig</t>
  </si>
  <si>
    <t>Coal Mine</t>
  </si>
  <si>
    <t>Iron Ore Mine</t>
  </si>
  <si>
    <t>Bauxite Mine</t>
  </si>
  <si>
    <t>Copper Mine</t>
  </si>
  <si>
    <t>Stone Quarry</t>
  </si>
  <si>
    <t>Sand Pit</t>
  </si>
  <si>
    <t>Oil Wells</t>
  </si>
  <si>
    <t>Potash Mine</t>
  </si>
  <si>
    <t>Uranium Mine</t>
  </si>
  <si>
    <t>Mineral Mine</t>
  </si>
  <si>
    <t>Clay Pit</t>
  </si>
  <si>
    <t>Plantation</t>
  </si>
  <si>
    <t>Sheep Farm</t>
  </si>
  <si>
    <t>Produce Greenhouse</t>
  </si>
  <si>
    <t>Dairy Farm</t>
  </si>
  <si>
    <t>Logging Operation</t>
  </si>
  <si>
    <t>Crop Farm</t>
  </si>
  <si>
    <t>Cement Plant</t>
  </si>
  <si>
    <t>Aluminium Mill</t>
  </si>
  <si>
    <t>Copper Mill</t>
  </si>
  <si>
    <t>Silicon Plant</t>
  </si>
  <si>
    <t>Lithium Plant</t>
  </si>
  <si>
    <t>Paper Mill</t>
  </si>
  <si>
    <t>Lumber Mill</t>
  </si>
  <si>
    <t>Plastic Plant</t>
  </si>
  <si>
    <t>Recycling Plant</t>
  </si>
  <si>
    <t>Nuclear Processing Facility</t>
  </si>
  <si>
    <t>Fertilizer Factory</t>
  </si>
  <si>
    <t>Packaging Factory</t>
  </si>
  <si>
    <t>Electronic Component Factory</t>
  </si>
  <si>
    <t>Power Cell Plant</t>
  </si>
  <si>
    <t>Vehicle Factory</t>
  </si>
  <si>
    <t>Factory</t>
  </si>
  <si>
    <t>Food Processing Plant</t>
  </si>
  <si>
    <t>Meat Packing Plant</t>
  </si>
  <si>
    <t>Dairy</t>
  </si>
  <si>
    <t>Commercial Bakery</t>
  </si>
  <si>
    <t>Winery</t>
  </si>
  <si>
    <t>Textile Mill</t>
  </si>
  <si>
    <t>Glass Works</t>
  </si>
  <si>
    <t>Distillery</t>
  </si>
  <si>
    <t>Fishmongers</t>
  </si>
  <si>
    <t>Organic Waste</t>
  </si>
  <si>
    <t>Cattle Farm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</si>
  <si>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</si>
  <si>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</si>
  <si>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</si>
  <si>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</si>
  <si>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</si>
  <si>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</si>
  <si>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</si>
  <si>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</si>
  <si>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</si>
  <si>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</si>
  <si>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</si>
  <si>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</si>
  <si>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</si>
  <si>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</si>
  <si>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</si>
  <si>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</si>
  <si>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</si>
  <si>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</si>
  <si>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</si>
  <si>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</si>
  <si>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</si>
  <si>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</si>
  <si>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</si>
  <si>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</si>
  <si>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</si>
  <si>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</si>
  <si>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</si>
  <si>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</si>
  <si>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</si>
  <si>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</si>
  <si>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</si>
  <si>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</si>
  <si>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</si>
  <si>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</si>
  <si>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</si>
  <si>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</si>
  <si>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</si>
  <si>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</si>
  <si>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</si>
  <si>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</si>
  <si>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</si>
  <si>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</si>
  <si>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</si>
  <si>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</si>
  <si>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</si>
  <si>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</si>
  <si>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</si>
  <si>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</si>
  <si>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</si>
  <si>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</si>
  <si>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</si>
  <si>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</si>
  <si>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</si>
  <si>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</si>
  <si>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</si>
  <si>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</si>
  <si>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</si>
  <si>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</si>
  <si>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</si>
  <si>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</si>
  <si>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</si>
  <si>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</si>
  <si>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</si>
  <si>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</si>
  <si>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</si>
  <si>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</si>
  <si>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</si>
  <si>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</si>
  <si>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</si>
  <si>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</si>
  <si>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</si>
  <si>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</si>
  <si>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</si>
  <si>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</si>
  <si>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</si>
  <si>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</si>
  <si>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</si>
  <si>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</si>
  <si>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</si>
  <si>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</si>
  <si>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</si>
  <si>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</si>
  <si>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</si>
  <si>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</si>
  <si>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</si>
  <si>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</si>
  <si>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</si>
  <si>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</si>
  <si>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</si>
  <si>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</si>
  <si>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</si>
  <si>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</si>
  <si>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</si>
  <si>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</si>
  <si>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</si>
  <si>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</si>
  <si>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</si>
  <si>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</si>
  <si>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</si>
  <si>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</si>
  <si>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</si>
  <si>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</si>
  <si>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</si>
  <si>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</si>
  <si>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</si>
  <si>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</si>
  <si>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(6) Import Export</t>
  </si>
  <si>
    <t>Engineering Supplies Manufacturer</t>
  </si>
  <si>
    <t>Farming Supplies Manufacturer</t>
  </si>
  <si>
    <t>Farming Supplies</t>
  </si>
  <si>
    <t>Marine Supplies Manufacturer</t>
  </si>
  <si>
    <t>Manufacturing Supplies Manufacturer</t>
  </si>
  <si>
    <t>Construction Materials Manufacturer</t>
  </si>
  <si>
    <t>Raw Processed Material Export</t>
  </si>
  <si>
    <t>Organic Material Export</t>
  </si>
  <si>
    <t>Manufactured Goods Export</t>
  </si>
  <si>
    <t>People and Places Export</t>
  </si>
  <si>
    <t>Coal Fired Power Station</t>
  </si>
  <si>
    <t>Oil Fired Power Station</t>
  </si>
  <si>
    <t>Nuclear Power Station</t>
  </si>
  <si>
    <t>Nuclear Waste Processing Site</t>
  </si>
  <si>
    <t>Landfill</t>
  </si>
  <si>
    <t>00</t>
  </si>
  <si>
    <t>SPARE</t>
  </si>
  <si>
    <t>inland_extraction,</t>
  </si>
  <si>
    <t>offshore_extraction,</t>
  </si>
  <si>
    <t>inland_fisheries,</t>
  </si>
  <si>
    <t>offshore_fisheries,</t>
  </si>
  <si>
    <t>inland_excavation,</t>
  </si>
  <si>
    <t>offshore_excavation,</t>
  </si>
  <si>
    <t>mining,</t>
  </si>
  <si>
    <t>husbandry,</t>
  </si>
  <si>
    <t>cultivation,</t>
  </si>
  <si>
    <t>forestry,</t>
  </si>
  <si>
    <t>packaging</t>
  </si>
  <si>
    <t>electronics</t>
  </si>
  <si>
    <t>power cells</t>
  </si>
  <si>
    <t>vehicles</t>
  </si>
  <si>
    <t>goods</t>
  </si>
  <si>
    <t>food</t>
  </si>
  <si>
    <t>alcohol</t>
  </si>
  <si>
    <t>textiles</t>
  </si>
  <si>
    <t>Power Station</t>
  </si>
  <si>
    <t>nuclear waste</t>
  </si>
  <si>
    <t>landfill</t>
  </si>
  <si>
    <t>metals</t>
  </si>
  <si>
    <t>purification</t>
  </si>
  <si>
    <t>refinement</t>
  </si>
  <si>
    <t>chemcials</t>
  </si>
  <si>
    <t>materials</t>
  </si>
  <si>
    <t>products</t>
  </si>
  <si>
    <t>reclamation</t>
  </si>
  <si>
    <t>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</si>
</sst>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0" tint="-0.499984740745262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02">
    <xf numFmtId="0" fontId="0" fillId="0" borderId="0" xfId="0"/>
    <xf numFmtId="0" fontId="1" fillId="0" borderId="0" xfId="0" applyFont="1"/>
    <xf numFmtId="0" fontId="0" fillId="2" borderId="0" xfId="0" applyFill="1"/>
    <xf numFmtId="49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4" borderId="0" xfId="0" applyFill="1"/>
    <xf numFmtId="49" fontId="2" fillId="3" borderId="0" xfId="0" applyNumberFormat="1" applyFont="1" applyFill="1"/>
    <xf numFmtId="0" fontId="2" fillId="2" borderId="0" xfId="0" applyFont="1" applyFill="1"/>
    <xf numFmtId="0" fontId="0" fillId="5" borderId="0" xfId="0" applyFill="1"/>
    <xf numFmtId="0" fontId="2" fillId="5" borderId="0" xfId="0" applyFont="1" applyFill="1"/>
    <xf numFmtId="0" fontId="0" fillId="6" borderId="0" xfId="0" applyFill="1"/>
    <xf numFmtId="0" fontId="0" fillId="7" borderId="0" xfId="0" applyFill="1"/>
    <xf numFmtId="49" fontId="2" fillId="8" borderId="0" xfId="0" applyNumberFormat="1" applyFont="1" applyFill="1"/>
    <xf numFmtId="49" fontId="2" fillId="6" borderId="0" xfId="0" applyNumberFormat="1" applyFont="1" applyFill="1"/>
    <xf numFmtId="49" fontId="2" fillId="7" borderId="0" xfId="0" applyNumberFormat="1" applyFont="1" applyFill="1"/>
    <xf numFmtId="0" fontId="2" fillId="7" borderId="0" xfId="0" applyFont="1" applyFill="1"/>
    <xf numFmtId="0" fontId="0" fillId="8" borderId="0" xfId="0" applyFill="1"/>
    <xf numFmtId="49" fontId="2" fillId="2" borderId="0" xfId="0" applyNumberFormat="1" applyFont="1" applyFill="1"/>
    <xf numFmtId="0" fontId="2" fillId="9" borderId="0" xfId="0" applyFont="1" applyFill="1"/>
    <xf numFmtId="49" fontId="2" fillId="9" borderId="0" xfId="0" applyNumberFormat="1" applyFont="1" applyFill="1"/>
    <xf numFmtId="0" fontId="0" fillId="10" borderId="0" xfId="0" applyFill="1"/>
    <xf numFmtId="0" fontId="2" fillId="10" borderId="0" xfId="0" applyFont="1" applyFill="1"/>
    <xf numFmtId="49" fontId="2" fillId="10" borderId="0" xfId="0" applyNumberFormat="1" applyFont="1" applyFill="1"/>
    <xf numFmtId="0" fontId="2" fillId="11" borderId="0" xfId="0" applyFont="1" applyFill="1"/>
    <xf numFmtId="49" fontId="2" fillId="11" borderId="0" xfId="0" applyNumberFormat="1" applyFont="1" applyFill="1"/>
    <xf numFmtId="0" fontId="0" fillId="11" borderId="0" xfId="0" applyFill="1"/>
    <xf numFmtId="0" fontId="2" fillId="4" borderId="0" xfId="0" applyFont="1" applyFill="1"/>
    <xf numFmtId="49" fontId="2" fillId="4" borderId="0" xfId="0" applyNumberFormat="1" applyFont="1" applyFill="1"/>
    <xf numFmtId="0" fontId="2" fillId="12" borderId="0" xfId="0" applyFont="1" applyFill="1"/>
    <xf numFmtId="49" fontId="2" fillId="12" borderId="0" xfId="0" applyNumberFormat="1" applyFont="1" applyFill="1"/>
    <xf numFmtId="0" fontId="0" fillId="12" borderId="0" xfId="0" applyFill="1"/>
    <xf numFmtId="0" fontId="2" fillId="13" borderId="0" xfId="0" applyFont="1" applyFill="1"/>
    <xf numFmtId="49" fontId="2" fillId="13" borderId="0" xfId="0" applyNumberFormat="1" applyFont="1" applyFill="1"/>
    <xf numFmtId="0" fontId="0" fillId="14" borderId="0" xfId="0" applyFill="1"/>
    <xf numFmtId="0" fontId="0" fillId="13" borderId="0" xfId="0" applyFill="1"/>
    <xf numFmtId="49" fontId="0" fillId="13" borderId="0" xfId="0" applyNumberFormat="1" applyFill="1"/>
    <xf numFmtId="0" fontId="0" fillId="9" borderId="0" xfId="0" applyFill="1"/>
    <xf numFmtId="0" fontId="2" fillId="14" borderId="0" xfId="0" applyFont="1" applyFill="1"/>
    <xf numFmtId="49" fontId="2" fillId="14" borderId="0" xfId="0" applyNumberFormat="1" applyFont="1" applyFill="1"/>
    <xf numFmtId="0" fontId="0" fillId="15" borderId="0" xfId="0" applyFill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7" fillId="0" borderId="1" xfId="0" applyFont="1" applyBorder="1"/>
    <xf numFmtId="1" fontId="7" fillId="0" borderId="2" xfId="0" applyNumberFormat="1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0" fontId="7" fillId="0" borderId="3" xfId="0" applyFont="1" applyBorder="1"/>
    <xf numFmtId="0" fontId="6" fillId="0" borderId="4" xfId="0" applyFont="1" applyBorder="1" applyAlignment="1">
      <alignment horizontal="right"/>
    </xf>
    <xf numFmtId="1" fontId="6" fillId="0" borderId="4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7" fillId="0" borderId="7" xfId="0" applyFont="1" applyBorder="1" applyAlignment="1">
      <alignment horizontal="right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9" fillId="17" borderId="0" xfId="0" applyFont="1" applyFill="1" applyAlignment="1">
      <alignment horizontal="right"/>
    </xf>
    <xf numFmtId="1" fontId="9" fillId="0" borderId="0" xfId="0" applyNumberFormat="1" applyFont="1" applyAlignment="1">
      <alignment horizontal="center"/>
    </xf>
    <xf numFmtId="0" fontId="9" fillId="16" borderId="0" xfId="0" applyFont="1" applyFill="1" applyAlignment="1">
      <alignment horizontal="right"/>
    </xf>
    <xf numFmtId="0" fontId="9" fillId="18" borderId="0" xfId="0" applyFont="1" applyFill="1" applyAlignment="1">
      <alignment horizontal="right"/>
    </xf>
    <xf numFmtId="0" fontId="9" fillId="19" borderId="0" xfId="0" applyFont="1" applyFill="1" applyAlignment="1">
      <alignment horizontal="right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9" xfId="0" applyFont="1" applyBorder="1"/>
    <xf numFmtId="1" fontId="7" fillId="0" borderId="10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7" fillId="0" borderId="12" xfId="0" applyFont="1" applyBorder="1"/>
    <xf numFmtId="1" fontId="7" fillId="0" borderId="13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1" fontId="7" fillId="0" borderId="0" xfId="0" applyNumberFormat="1" applyFont="1"/>
    <xf numFmtId="1" fontId="6" fillId="0" borderId="14" xfId="1" applyNumberFormat="1" applyFont="1" applyBorder="1" applyAlignment="1">
      <alignment horizontal="center"/>
    </xf>
    <xf numFmtId="1" fontId="6" fillId="0" borderId="2" xfId="1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0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9" fontId="7" fillId="0" borderId="0" xfId="1" applyFont="1"/>
    <xf numFmtId="1" fontId="6" fillId="0" borderId="5" xfId="0" applyNumberFormat="1" applyFont="1" applyBorder="1" applyAlignment="1">
      <alignment horizontal="center"/>
    </xf>
    <xf numFmtId="1" fontId="6" fillId="0" borderId="11" xfId="0" applyNumberFormat="1" applyFont="1" applyBorder="1" applyAlignment="1">
      <alignment horizontal="center"/>
    </xf>
    <xf numFmtId="0" fontId="9" fillId="0" borderId="0" xfId="0" applyFont="1" applyAlignment="1">
      <alignment horizontal="right"/>
    </xf>
    <xf numFmtId="0" fontId="10" fillId="0" borderId="0" xfId="0" applyFont="1"/>
    <xf numFmtId="49" fontId="2" fillId="0" borderId="0" xfId="0" applyNumberFormat="1" applyFont="1"/>
    <xf numFmtId="10" fontId="0" fillId="0" borderId="0" xfId="1" applyNumberFormat="1" applyFont="1"/>
    <xf numFmtId="0" fontId="8" fillId="0" borderId="9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66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83886-661B-4715-9C82-4C007FDD97FE}">
  <dimension ref="A1:S40"/>
  <sheetViews>
    <sheetView topLeftCell="A9" zoomScale="85" zoomScaleNormal="85" workbookViewId="0">
      <selection activeCell="G12" sqref="G12:G22"/>
    </sheetView>
  </sheetViews>
  <sheetFormatPr defaultRowHeight="15" x14ac:dyDescent="0.25"/>
  <cols>
    <col min="1" max="3" width="16.7109375" customWidth="1"/>
    <col min="4" max="4" width="5.7109375" customWidth="1"/>
    <col min="5" max="7" width="16.7109375" customWidth="1"/>
    <col min="8" max="8" width="5.7109375" customWidth="1"/>
    <col min="9" max="11" width="16.7109375" customWidth="1"/>
    <col min="12" max="12" width="5.7109375" customWidth="1"/>
    <col min="13" max="15" width="16.7109375" customWidth="1"/>
    <col min="16" max="16" width="5.7109375" customWidth="1"/>
    <col min="17" max="19" width="16.7109375" customWidth="1"/>
  </cols>
  <sheetData>
    <row r="1" spans="1:19" x14ac:dyDescent="0.25">
      <c r="A1" s="6" t="s">
        <v>193</v>
      </c>
      <c r="E1" s="6" t="s">
        <v>195</v>
      </c>
      <c r="I1" s="6" t="s">
        <v>194</v>
      </c>
      <c r="M1" s="6"/>
      <c r="Q1" s="6"/>
    </row>
    <row r="2" spans="1:19" x14ac:dyDescent="0.25">
      <c r="A2" s="1" t="s">
        <v>168</v>
      </c>
      <c r="B2" s="1" t="s">
        <v>2</v>
      </c>
      <c r="C2" s="1" t="s">
        <v>3</v>
      </c>
      <c r="D2" s="1"/>
      <c r="E2" s="1" t="s">
        <v>168</v>
      </c>
      <c r="F2" s="1" t="s">
        <v>2</v>
      </c>
      <c r="G2" s="1" t="s">
        <v>3</v>
      </c>
      <c r="H2" s="1"/>
      <c r="I2" s="1" t="s">
        <v>168</v>
      </c>
      <c r="J2" s="1" t="s">
        <v>2</v>
      </c>
      <c r="K2" s="1" t="s">
        <v>3</v>
      </c>
      <c r="L2" s="1"/>
      <c r="M2" s="1"/>
      <c r="N2" s="1"/>
      <c r="O2" s="1"/>
      <c r="Q2" s="1"/>
      <c r="R2" s="1"/>
      <c r="S2" s="1"/>
    </row>
    <row r="3" spans="1:19" x14ac:dyDescent="0.25">
      <c r="A3">
        <v>1</v>
      </c>
      <c r="B3" t="s">
        <v>4</v>
      </c>
      <c r="C3" t="s">
        <v>4</v>
      </c>
      <c r="E3">
        <v>1</v>
      </c>
      <c r="F3" t="s">
        <v>4</v>
      </c>
      <c r="G3" t="s">
        <v>4</v>
      </c>
      <c r="I3">
        <v>1</v>
      </c>
      <c r="J3" t="s">
        <v>4</v>
      </c>
      <c r="K3" t="s">
        <v>4</v>
      </c>
    </row>
    <row r="4" spans="1:19" x14ac:dyDescent="0.25">
      <c r="A4">
        <v>2</v>
      </c>
      <c r="C4" t="s">
        <v>55</v>
      </c>
      <c r="E4">
        <v>2</v>
      </c>
      <c r="G4" t="s">
        <v>55</v>
      </c>
      <c r="I4">
        <v>2</v>
      </c>
      <c r="K4" t="s">
        <v>55</v>
      </c>
    </row>
    <row r="5" spans="1:19" x14ac:dyDescent="0.25">
      <c r="A5">
        <v>3</v>
      </c>
      <c r="C5" t="s">
        <v>53</v>
      </c>
      <c r="E5">
        <v>3</v>
      </c>
      <c r="G5" t="s">
        <v>53</v>
      </c>
      <c r="I5">
        <v>3</v>
      </c>
      <c r="K5" t="s">
        <v>53</v>
      </c>
    </row>
    <row r="6" spans="1:19" x14ac:dyDescent="0.25">
      <c r="A6">
        <v>4</v>
      </c>
      <c r="E6">
        <v>4</v>
      </c>
      <c r="I6">
        <v>4</v>
      </c>
    </row>
    <row r="7" spans="1:19" x14ac:dyDescent="0.25">
      <c r="A7">
        <v>5</v>
      </c>
      <c r="E7">
        <v>5</v>
      </c>
      <c r="I7">
        <v>5</v>
      </c>
    </row>
    <row r="8" spans="1:19" x14ac:dyDescent="0.25">
      <c r="A8">
        <v>6</v>
      </c>
      <c r="E8">
        <v>6</v>
      </c>
      <c r="I8">
        <v>6</v>
      </c>
    </row>
    <row r="9" spans="1:19" x14ac:dyDescent="0.25">
      <c r="A9">
        <v>7</v>
      </c>
      <c r="E9">
        <v>7</v>
      </c>
      <c r="I9">
        <v>7</v>
      </c>
    </row>
    <row r="10" spans="1:19" x14ac:dyDescent="0.25">
      <c r="A10" s="1" t="s">
        <v>185</v>
      </c>
      <c r="B10" s="1" t="s">
        <v>2</v>
      </c>
      <c r="C10" s="1" t="s">
        <v>3</v>
      </c>
      <c r="E10" s="1" t="s">
        <v>185</v>
      </c>
      <c r="F10" s="1" t="s">
        <v>2</v>
      </c>
      <c r="G10" s="1" t="s">
        <v>3</v>
      </c>
      <c r="I10" s="1" t="s">
        <v>185</v>
      </c>
      <c r="J10" s="1" t="s">
        <v>2</v>
      </c>
      <c r="K10" s="1" t="s">
        <v>3</v>
      </c>
      <c r="M10" s="1"/>
      <c r="N10" s="1"/>
      <c r="O10" s="1"/>
      <c r="Q10" s="1"/>
      <c r="R10" s="1"/>
      <c r="S10" s="1"/>
    </row>
    <row r="11" spans="1:19" x14ac:dyDescent="0.25">
      <c r="A11">
        <v>1</v>
      </c>
      <c r="B11" t="s">
        <v>47</v>
      </c>
      <c r="E11">
        <v>1</v>
      </c>
      <c r="F11" t="s">
        <v>66</v>
      </c>
      <c r="I11">
        <v>1</v>
      </c>
      <c r="J11" t="s">
        <v>17</v>
      </c>
    </row>
    <row r="12" spans="1:19" x14ac:dyDescent="0.25">
      <c r="A12">
        <v>2</v>
      </c>
      <c r="C12" t="s">
        <v>49</v>
      </c>
      <c r="E12">
        <v>2</v>
      </c>
      <c r="G12" t="s">
        <v>14</v>
      </c>
      <c r="I12">
        <v>2</v>
      </c>
      <c r="K12" t="s">
        <v>50</v>
      </c>
    </row>
    <row r="13" spans="1:19" x14ac:dyDescent="0.25">
      <c r="A13">
        <v>3</v>
      </c>
      <c r="C13" t="s">
        <v>63</v>
      </c>
      <c r="E13">
        <v>3</v>
      </c>
      <c r="G13" t="s">
        <v>15</v>
      </c>
      <c r="I13">
        <v>3</v>
      </c>
      <c r="K13" t="s">
        <v>46</v>
      </c>
    </row>
    <row r="14" spans="1:19" x14ac:dyDescent="0.25">
      <c r="A14">
        <v>4</v>
      </c>
      <c r="C14" t="s">
        <v>12</v>
      </c>
      <c r="E14">
        <v>4</v>
      </c>
      <c r="G14" t="s">
        <v>16</v>
      </c>
      <c r="I14">
        <v>4</v>
      </c>
      <c r="K14" t="s">
        <v>129</v>
      </c>
    </row>
    <row r="15" spans="1:19" x14ac:dyDescent="0.25">
      <c r="A15">
        <v>5</v>
      </c>
      <c r="C15" t="s">
        <v>88</v>
      </c>
      <c r="E15">
        <v>5</v>
      </c>
      <c r="G15" t="s">
        <v>125</v>
      </c>
      <c r="I15">
        <v>5</v>
      </c>
      <c r="K15" t="s">
        <v>64</v>
      </c>
    </row>
    <row r="16" spans="1:19" x14ac:dyDescent="0.25">
      <c r="A16">
        <v>6</v>
      </c>
      <c r="E16">
        <v>6</v>
      </c>
      <c r="G16" t="s">
        <v>63</v>
      </c>
      <c r="I16">
        <v>6</v>
      </c>
      <c r="K16" t="s">
        <v>45</v>
      </c>
    </row>
    <row r="17" spans="1:18" x14ac:dyDescent="0.25">
      <c r="A17">
        <v>7</v>
      </c>
      <c r="E17">
        <v>7</v>
      </c>
      <c r="F17" s="4"/>
      <c r="G17" t="s">
        <v>12</v>
      </c>
      <c r="I17">
        <v>7</v>
      </c>
      <c r="K17" t="s">
        <v>19</v>
      </c>
    </row>
    <row r="18" spans="1:18" x14ac:dyDescent="0.25">
      <c r="A18">
        <v>8</v>
      </c>
      <c r="E18">
        <v>8</v>
      </c>
      <c r="G18" t="s">
        <v>88</v>
      </c>
      <c r="I18">
        <v>8</v>
      </c>
    </row>
    <row r="19" spans="1:18" x14ac:dyDescent="0.25">
      <c r="A19">
        <v>9</v>
      </c>
      <c r="E19">
        <v>9</v>
      </c>
      <c r="G19" t="s">
        <v>32</v>
      </c>
      <c r="I19">
        <v>9</v>
      </c>
      <c r="K19" t="s">
        <v>67</v>
      </c>
    </row>
    <row r="20" spans="1:18" x14ac:dyDescent="0.25">
      <c r="A20">
        <v>10</v>
      </c>
      <c r="E20">
        <v>10</v>
      </c>
      <c r="G20" t="s">
        <v>57</v>
      </c>
      <c r="I20">
        <v>10</v>
      </c>
    </row>
    <row r="21" spans="1:18" x14ac:dyDescent="0.25">
      <c r="A21">
        <v>11</v>
      </c>
      <c r="E21">
        <v>11</v>
      </c>
      <c r="G21" s="4" t="s">
        <v>213</v>
      </c>
      <c r="I21">
        <v>11</v>
      </c>
    </row>
    <row r="22" spans="1:18" x14ac:dyDescent="0.25">
      <c r="A22">
        <v>12</v>
      </c>
      <c r="E22">
        <v>12</v>
      </c>
      <c r="G22" t="s">
        <v>261</v>
      </c>
      <c r="I22">
        <v>12</v>
      </c>
    </row>
    <row r="23" spans="1:18" x14ac:dyDescent="0.25">
      <c r="A23">
        <v>13</v>
      </c>
      <c r="E23">
        <v>13</v>
      </c>
      <c r="I23">
        <v>13</v>
      </c>
    </row>
    <row r="24" spans="1:18" x14ac:dyDescent="0.25">
      <c r="A24">
        <v>14</v>
      </c>
      <c r="E24">
        <v>14</v>
      </c>
      <c r="I24">
        <v>14</v>
      </c>
    </row>
    <row r="25" spans="1:18" x14ac:dyDescent="0.25">
      <c r="A25">
        <v>15</v>
      </c>
      <c r="E25">
        <v>15</v>
      </c>
      <c r="I25">
        <v>15</v>
      </c>
    </row>
    <row r="26" spans="1:18" x14ac:dyDescent="0.25">
      <c r="A26">
        <v>16</v>
      </c>
      <c r="E26">
        <v>16</v>
      </c>
      <c r="I26">
        <v>16</v>
      </c>
    </row>
    <row r="27" spans="1:18" x14ac:dyDescent="0.25">
      <c r="B27" s="1" t="s">
        <v>186</v>
      </c>
      <c r="C27">
        <f>COUNTA(B11:C26)+COUNTA(C3:C9)</f>
        <v>8</v>
      </c>
      <c r="F27" s="1" t="s">
        <v>186</v>
      </c>
      <c r="G27">
        <f>COUNTA(F11:G26)+COUNTA(G3:G9)</f>
        <v>15</v>
      </c>
      <c r="J27" s="1" t="s">
        <v>186</v>
      </c>
      <c r="K27">
        <f>COUNTA(J11:K26)+COUNTA(K3:K9)</f>
        <v>11</v>
      </c>
      <c r="N27" s="1"/>
      <c r="R27" s="1"/>
    </row>
    <row r="30" spans="1:18" x14ac:dyDescent="0.25">
      <c r="C30" t="s">
        <v>358</v>
      </c>
      <c r="G30" t="s">
        <v>361</v>
      </c>
      <c r="J30" t="s">
        <v>372</v>
      </c>
    </row>
    <row r="31" spans="1:18" x14ac:dyDescent="0.25">
      <c r="C31" t="s">
        <v>359</v>
      </c>
      <c r="G31" t="s">
        <v>362</v>
      </c>
      <c r="J31" t="s">
        <v>373</v>
      </c>
    </row>
    <row r="32" spans="1:18" x14ac:dyDescent="0.25">
      <c r="C32" t="s">
        <v>360</v>
      </c>
      <c r="G32" t="s">
        <v>363</v>
      </c>
      <c r="J32" t="s">
        <v>374</v>
      </c>
    </row>
    <row r="33" spans="7:10" x14ac:dyDescent="0.25">
      <c r="G33" t="s">
        <v>364</v>
      </c>
      <c r="J33" t="s">
        <v>375</v>
      </c>
    </row>
    <row r="34" spans="7:10" x14ac:dyDescent="0.25">
      <c r="G34" t="s">
        <v>365</v>
      </c>
      <c r="J34" t="s">
        <v>376</v>
      </c>
    </row>
    <row r="35" spans="7:10" x14ac:dyDescent="0.25">
      <c r="G35" t="s">
        <v>366</v>
      </c>
      <c r="J35" t="s">
        <v>377</v>
      </c>
    </row>
    <row r="36" spans="7:10" x14ac:dyDescent="0.25">
      <c r="G36" t="s">
        <v>367</v>
      </c>
      <c r="J36" t="s">
        <v>404</v>
      </c>
    </row>
    <row r="37" spans="7:10" x14ac:dyDescent="0.25">
      <c r="G37" t="s">
        <v>368</v>
      </c>
    </row>
    <row r="38" spans="7:10" x14ac:dyDescent="0.25">
      <c r="G38" t="s">
        <v>369</v>
      </c>
    </row>
    <row r="39" spans="7:10" x14ac:dyDescent="0.25">
      <c r="G39" t="s">
        <v>370</v>
      </c>
    </row>
    <row r="40" spans="7:10" x14ac:dyDescent="0.25">
      <c r="G40" t="s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5EA91-C76F-40C7-A81E-C58EF90B3D76}">
  <dimension ref="A1:S32"/>
  <sheetViews>
    <sheetView zoomScale="85" zoomScaleNormal="85" workbookViewId="0">
      <selection activeCell="G19" sqref="G19"/>
    </sheetView>
  </sheetViews>
  <sheetFormatPr defaultRowHeight="15" x14ac:dyDescent="0.25"/>
  <cols>
    <col min="1" max="3" width="16.7109375" customWidth="1"/>
    <col min="4" max="4" width="5.7109375" customWidth="1"/>
    <col min="5" max="7" width="16.7109375" customWidth="1"/>
    <col min="8" max="8" width="5.7109375" customWidth="1"/>
    <col min="9" max="11" width="16.7109375" customWidth="1"/>
    <col min="12" max="12" width="5.7109375" customWidth="1"/>
    <col min="13" max="15" width="16.7109375" customWidth="1"/>
    <col min="16" max="16" width="5.7109375" customWidth="1"/>
    <col min="17" max="19" width="16.7109375" customWidth="1"/>
  </cols>
  <sheetData>
    <row r="1" spans="1:19" x14ac:dyDescent="0.25">
      <c r="A1" s="6" t="s">
        <v>235</v>
      </c>
      <c r="E1" s="6" t="s">
        <v>236</v>
      </c>
      <c r="I1" s="6" t="s">
        <v>243</v>
      </c>
      <c r="M1" s="6" t="s">
        <v>187</v>
      </c>
      <c r="Q1" s="6" t="s">
        <v>188</v>
      </c>
    </row>
    <row r="2" spans="1:19" x14ac:dyDescent="0.25">
      <c r="A2" s="1" t="s">
        <v>168</v>
      </c>
      <c r="B2" s="1" t="s">
        <v>2</v>
      </c>
      <c r="C2" s="1" t="s">
        <v>3</v>
      </c>
      <c r="D2" s="1"/>
      <c r="E2" s="1" t="s">
        <v>168</v>
      </c>
      <c r="F2" s="1" t="s">
        <v>2</v>
      </c>
      <c r="G2" s="1" t="s">
        <v>3</v>
      </c>
      <c r="H2" s="1"/>
      <c r="I2" s="1" t="s">
        <v>168</v>
      </c>
      <c r="J2" s="1" t="s">
        <v>2</v>
      </c>
      <c r="K2" s="1" t="s">
        <v>3</v>
      </c>
      <c r="L2" s="1"/>
      <c r="M2" s="1" t="s">
        <v>168</v>
      </c>
      <c r="N2" s="1" t="s">
        <v>2</v>
      </c>
      <c r="O2" s="1" t="s">
        <v>3</v>
      </c>
      <c r="Q2" s="1" t="s">
        <v>168</v>
      </c>
      <c r="R2" s="1" t="s">
        <v>2</v>
      </c>
      <c r="S2" s="1" t="s">
        <v>3</v>
      </c>
    </row>
    <row r="3" spans="1:19" x14ac:dyDescent="0.25">
      <c r="A3">
        <v>1</v>
      </c>
      <c r="B3" t="s">
        <v>4</v>
      </c>
      <c r="C3" t="s">
        <v>4</v>
      </c>
      <c r="E3">
        <v>1</v>
      </c>
      <c r="F3" t="s">
        <v>4</v>
      </c>
      <c r="G3" t="s">
        <v>4</v>
      </c>
      <c r="I3">
        <v>1</v>
      </c>
      <c r="J3" t="s">
        <v>4</v>
      </c>
      <c r="K3" t="s">
        <v>4</v>
      </c>
      <c r="M3">
        <v>1</v>
      </c>
      <c r="N3" t="s">
        <v>4</v>
      </c>
      <c r="O3" t="s">
        <v>4</v>
      </c>
      <c r="Q3">
        <v>1</v>
      </c>
      <c r="R3" t="s">
        <v>4</v>
      </c>
      <c r="S3" t="s">
        <v>4</v>
      </c>
    </row>
    <row r="4" spans="1:19" x14ac:dyDescent="0.25">
      <c r="A4">
        <v>2</v>
      </c>
      <c r="C4" t="s">
        <v>55</v>
      </c>
      <c r="E4">
        <v>2</v>
      </c>
      <c r="G4" t="s">
        <v>55</v>
      </c>
      <c r="I4">
        <v>2</v>
      </c>
      <c r="K4" t="s">
        <v>55</v>
      </c>
      <c r="M4">
        <v>2</v>
      </c>
      <c r="Q4">
        <v>2</v>
      </c>
      <c r="S4" t="s">
        <v>55</v>
      </c>
    </row>
    <row r="5" spans="1:19" x14ac:dyDescent="0.25">
      <c r="A5">
        <v>3</v>
      </c>
      <c r="C5" t="s">
        <v>53</v>
      </c>
      <c r="E5">
        <v>3</v>
      </c>
      <c r="G5" t="s">
        <v>53</v>
      </c>
      <c r="I5">
        <v>3</v>
      </c>
      <c r="K5" t="s">
        <v>53</v>
      </c>
      <c r="M5">
        <v>3</v>
      </c>
      <c r="Q5">
        <v>3</v>
      </c>
      <c r="S5" t="s">
        <v>53</v>
      </c>
    </row>
    <row r="6" spans="1:19" x14ac:dyDescent="0.25">
      <c r="A6">
        <v>4</v>
      </c>
      <c r="E6">
        <v>4</v>
      </c>
      <c r="I6">
        <v>4</v>
      </c>
      <c r="M6">
        <v>4</v>
      </c>
      <c r="Q6">
        <v>4</v>
      </c>
    </row>
    <row r="7" spans="1:19" x14ac:dyDescent="0.25">
      <c r="A7">
        <v>5</v>
      </c>
      <c r="E7">
        <v>5</v>
      </c>
      <c r="I7">
        <v>5</v>
      </c>
      <c r="M7">
        <v>5</v>
      </c>
      <c r="Q7">
        <v>5</v>
      </c>
    </row>
    <row r="8" spans="1:19" x14ac:dyDescent="0.25">
      <c r="A8">
        <v>6</v>
      </c>
      <c r="E8">
        <v>6</v>
      </c>
      <c r="I8">
        <v>6</v>
      </c>
      <c r="M8">
        <v>6</v>
      </c>
      <c r="Q8">
        <v>6</v>
      </c>
    </row>
    <row r="9" spans="1:19" x14ac:dyDescent="0.25">
      <c r="A9">
        <v>7</v>
      </c>
      <c r="E9">
        <v>7</v>
      </c>
      <c r="I9">
        <v>7</v>
      </c>
      <c r="M9">
        <v>7</v>
      </c>
      <c r="Q9">
        <v>7</v>
      </c>
    </row>
    <row r="10" spans="1:19" x14ac:dyDescent="0.25">
      <c r="A10" s="1" t="s">
        <v>185</v>
      </c>
      <c r="B10" s="1" t="s">
        <v>2</v>
      </c>
      <c r="C10" s="1" t="s">
        <v>3</v>
      </c>
      <c r="E10" s="1" t="s">
        <v>185</v>
      </c>
      <c r="F10" s="1" t="s">
        <v>2</v>
      </c>
      <c r="G10" s="1" t="s">
        <v>3</v>
      </c>
      <c r="I10" s="1" t="s">
        <v>185</v>
      </c>
      <c r="J10" s="1" t="s">
        <v>2</v>
      </c>
      <c r="K10" s="1" t="s">
        <v>3</v>
      </c>
      <c r="M10" s="1" t="s">
        <v>185</v>
      </c>
      <c r="N10" s="1" t="s">
        <v>2</v>
      </c>
      <c r="O10" s="1" t="s">
        <v>3</v>
      </c>
      <c r="Q10" s="1" t="s">
        <v>185</v>
      </c>
      <c r="R10" s="1" t="s">
        <v>2</v>
      </c>
      <c r="S10" s="1" t="s">
        <v>3</v>
      </c>
    </row>
    <row r="11" spans="1:19" x14ac:dyDescent="0.25">
      <c r="A11">
        <v>1</v>
      </c>
      <c r="B11" t="s">
        <v>66</v>
      </c>
      <c r="E11">
        <v>1</v>
      </c>
      <c r="F11" t="s">
        <v>66</v>
      </c>
      <c r="I11">
        <v>1</v>
      </c>
      <c r="J11" t="s">
        <v>66</v>
      </c>
      <c r="M11">
        <v>1</v>
      </c>
      <c r="N11" t="s">
        <v>66</v>
      </c>
      <c r="Q11">
        <v>1</v>
      </c>
      <c r="R11" t="s">
        <v>66</v>
      </c>
    </row>
    <row r="12" spans="1:19" x14ac:dyDescent="0.25">
      <c r="A12">
        <v>2</v>
      </c>
      <c r="B12" t="s">
        <v>63</v>
      </c>
      <c r="E12">
        <v>2</v>
      </c>
      <c r="F12" t="s">
        <v>14</v>
      </c>
      <c r="I12">
        <v>2</v>
      </c>
      <c r="J12" t="s">
        <v>213</v>
      </c>
      <c r="K12" t="s">
        <v>212</v>
      </c>
      <c r="M12">
        <v>2</v>
      </c>
      <c r="N12" t="s">
        <v>112</v>
      </c>
      <c r="O12" t="s">
        <v>169</v>
      </c>
      <c r="Q12">
        <v>2</v>
      </c>
      <c r="R12" t="s">
        <v>57</v>
      </c>
      <c r="S12" t="s">
        <v>58</v>
      </c>
    </row>
    <row r="13" spans="1:19" x14ac:dyDescent="0.25">
      <c r="A13">
        <v>3</v>
      </c>
      <c r="B13" t="s">
        <v>12</v>
      </c>
      <c r="E13">
        <v>3</v>
      </c>
      <c r="F13" t="s">
        <v>240</v>
      </c>
      <c r="I13">
        <v>3</v>
      </c>
      <c r="J13" t="s">
        <v>14</v>
      </c>
      <c r="M13">
        <v>3</v>
      </c>
      <c r="O13" t="s">
        <v>172</v>
      </c>
      <c r="Q13">
        <v>3</v>
      </c>
      <c r="R13" t="s">
        <v>127</v>
      </c>
    </row>
    <row r="14" spans="1:19" x14ac:dyDescent="0.25">
      <c r="A14">
        <v>4</v>
      </c>
      <c r="B14" t="s">
        <v>239</v>
      </c>
      <c r="C14" t="s">
        <v>22</v>
      </c>
      <c r="E14">
        <v>4</v>
      </c>
      <c r="F14" t="s">
        <v>15</v>
      </c>
      <c r="G14" s="5" t="s">
        <v>101</v>
      </c>
      <c r="I14">
        <v>4</v>
      </c>
      <c r="J14" t="s">
        <v>20</v>
      </c>
      <c r="K14" t="s">
        <v>107</v>
      </c>
      <c r="M14">
        <v>4</v>
      </c>
      <c r="O14" t="s">
        <v>171</v>
      </c>
      <c r="Q14">
        <v>4</v>
      </c>
      <c r="R14" t="s">
        <v>56</v>
      </c>
    </row>
    <row r="15" spans="1:19" x14ac:dyDescent="0.25">
      <c r="A15">
        <v>5</v>
      </c>
      <c r="B15" t="s">
        <v>88</v>
      </c>
      <c r="C15" t="s">
        <v>24</v>
      </c>
      <c r="E15">
        <v>5</v>
      </c>
      <c r="F15" t="s">
        <v>16</v>
      </c>
      <c r="G15" t="s">
        <v>183</v>
      </c>
      <c r="I15">
        <v>5</v>
      </c>
      <c r="J15" t="s">
        <v>241</v>
      </c>
      <c r="K15" t="s">
        <v>26</v>
      </c>
      <c r="M15">
        <v>5</v>
      </c>
      <c r="O15" t="s">
        <v>170</v>
      </c>
      <c r="Q15">
        <v>5</v>
      </c>
      <c r="R15" t="s">
        <v>32</v>
      </c>
      <c r="S15" t="s">
        <v>23</v>
      </c>
    </row>
    <row r="16" spans="1:19" x14ac:dyDescent="0.25">
      <c r="A16">
        <v>6</v>
      </c>
      <c r="C16" t="s">
        <v>130</v>
      </c>
      <c r="E16">
        <v>6</v>
      </c>
      <c r="F16" t="s">
        <v>125</v>
      </c>
      <c r="G16" t="s">
        <v>184</v>
      </c>
      <c r="I16">
        <v>6</v>
      </c>
      <c r="J16" t="s">
        <v>127</v>
      </c>
      <c r="M16">
        <v>6</v>
      </c>
      <c r="Q16">
        <v>6</v>
      </c>
    </row>
    <row r="17" spans="1:19" x14ac:dyDescent="0.25">
      <c r="A17">
        <v>7</v>
      </c>
      <c r="B17" t="s">
        <v>14</v>
      </c>
      <c r="C17" t="s">
        <v>106</v>
      </c>
      <c r="E17">
        <v>7</v>
      </c>
      <c r="F17" s="4" t="s">
        <v>127</v>
      </c>
      <c r="G17" s="4"/>
      <c r="I17">
        <v>7</v>
      </c>
      <c r="J17" t="s">
        <v>24</v>
      </c>
      <c r="K17" t="s">
        <v>128</v>
      </c>
      <c r="M17">
        <v>7</v>
      </c>
      <c r="Q17">
        <v>7</v>
      </c>
    </row>
    <row r="18" spans="1:19" x14ac:dyDescent="0.25">
      <c r="A18">
        <v>8</v>
      </c>
      <c r="B18" t="s">
        <v>213</v>
      </c>
      <c r="C18" t="s">
        <v>127</v>
      </c>
      <c r="E18">
        <v>8</v>
      </c>
      <c r="I18">
        <v>8</v>
      </c>
      <c r="J18" t="s">
        <v>242</v>
      </c>
      <c r="M18">
        <v>8</v>
      </c>
      <c r="Q18">
        <v>8</v>
      </c>
    </row>
    <row r="19" spans="1:19" x14ac:dyDescent="0.25">
      <c r="A19">
        <v>9</v>
      </c>
      <c r="B19" s="4"/>
      <c r="C19" s="5"/>
      <c r="E19">
        <v>9</v>
      </c>
      <c r="F19" t="s">
        <v>63</v>
      </c>
      <c r="G19" t="s">
        <v>237</v>
      </c>
      <c r="I19">
        <v>9</v>
      </c>
      <c r="M19">
        <v>9</v>
      </c>
      <c r="Q19">
        <v>9</v>
      </c>
    </row>
    <row r="20" spans="1:19" x14ac:dyDescent="0.25">
      <c r="A20">
        <v>10</v>
      </c>
      <c r="E20">
        <v>10</v>
      </c>
      <c r="I20">
        <v>10</v>
      </c>
      <c r="M20">
        <v>10</v>
      </c>
      <c r="Q20">
        <v>10</v>
      </c>
    </row>
    <row r="21" spans="1:19" x14ac:dyDescent="0.25">
      <c r="A21">
        <v>11</v>
      </c>
      <c r="E21">
        <v>11</v>
      </c>
      <c r="I21">
        <v>11</v>
      </c>
      <c r="M21">
        <v>11</v>
      </c>
      <c r="Q21">
        <v>11</v>
      </c>
    </row>
    <row r="22" spans="1:19" x14ac:dyDescent="0.25">
      <c r="A22">
        <v>12</v>
      </c>
      <c r="E22">
        <v>12</v>
      </c>
      <c r="I22">
        <v>12</v>
      </c>
      <c r="M22">
        <v>12</v>
      </c>
      <c r="Q22">
        <v>12</v>
      </c>
    </row>
    <row r="23" spans="1:19" x14ac:dyDescent="0.25">
      <c r="A23">
        <v>13</v>
      </c>
      <c r="E23">
        <v>13</v>
      </c>
      <c r="I23">
        <v>13</v>
      </c>
      <c r="M23">
        <v>13</v>
      </c>
      <c r="Q23">
        <v>13</v>
      </c>
    </row>
    <row r="24" spans="1:19" x14ac:dyDescent="0.25">
      <c r="A24">
        <v>14</v>
      </c>
      <c r="E24">
        <v>14</v>
      </c>
      <c r="I24">
        <v>14</v>
      </c>
      <c r="M24">
        <v>14</v>
      </c>
      <c r="Q24">
        <v>14</v>
      </c>
    </row>
    <row r="25" spans="1:19" x14ac:dyDescent="0.25">
      <c r="A25">
        <v>15</v>
      </c>
      <c r="E25">
        <v>15</v>
      </c>
      <c r="I25">
        <v>15</v>
      </c>
      <c r="M25">
        <v>15</v>
      </c>
      <c r="Q25">
        <v>15</v>
      </c>
    </row>
    <row r="26" spans="1:19" x14ac:dyDescent="0.25">
      <c r="A26">
        <v>16</v>
      </c>
      <c r="E26">
        <v>16</v>
      </c>
      <c r="I26">
        <v>16</v>
      </c>
      <c r="M26">
        <v>16</v>
      </c>
      <c r="Q26">
        <v>16</v>
      </c>
    </row>
    <row r="27" spans="1:19" x14ac:dyDescent="0.25">
      <c r="B27" s="1" t="s">
        <v>186</v>
      </c>
      <c r="C27">
        <f>COUNTA(B11:C26)+COUNTA(C3:C9)</f>
        <v>15</v>
      </c>
      <c r="F27" s="1" t="s">
        <v>186</v>
      </c>
      <c r="G27">
        <f>COUNTA(F11:G26)+COUNTA(G3:G9)</f>
        <v>15</v>
      </c>
      <c r="J27" s="1" t="s">
        <v>186</v>
      </c>
      <c r="K27">
        <f>COUNTA(J11:K26)+COUNTA(K3:K9)</f>
        <v>15</v>
      </c>
      <c r="N27" s="1" t="s">
        <v>186</v>
      </c>
      <c r="O27">
        <f>COUNTA(N11:O26)+COUNTA(O3:O9)</f>
        <v>7</v>
      </c>
      <c r="R27" s="1" t="s">
        <v>186</v>
      </c>
      <c r="S27">
        <f>COUNTA(R11:S26)+COUNTA(S3:S9)</f>
        <v>10</v>
      </c>
    </row>
    <row r="29" spans="1:19" x14ac:dyDescent="0.25">
      <c r="B29" t="s">
        <v>378</v>
      </c>
      <c r="F29" t="s">
        <v>348</v>
      </c>
      <c r="J29" t="s">
        <v>382</v>
      </c>
      <c r="O29" t="s">
        <v>386</v>
      </c>
      <c r="S29" t="s">
        <v>387</v>
      </c>
    </row>
    <row r="30" spans="1:19" x14ac:dyDescent="0.25">
      <c r="B30" t="s">
        <v>341</v>
      </c>
      <c r="F30" t="s">
        <v>379</v>
      </c>
      <c r="J30" t="s">
        <v>383</v>
      </c>
      <c r="S30" t="s">
        <v>388</v>
      </c>
    </row>
    <row r="31" spans="1:19" x14ac:dyDescent="0.25">
      <c r="B31" t="s">
        <v>370</v>
      </c>
      <c r="F31" t="s">
        <v>380</v>
      </c>
      <c r="J31" t="s">
        <v>384</v>
      </c>
    </row>
    <row r="32" spans="1:19" x14ac:dyDescent="0.25">
      <c r="B32" t="s">
        <v>400</v>
      </c>
      <c r="F32" t="s">
        <v>381</v>
      </c>
      <c r="J32" t="s">
        <v>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15EF1-B140-4D6E-9C5F-31ABC3F2A8A3}">
  <dimension ref="A1:S38"/>
  <sheetViews>
    <sheetView zoomScale="85" zoomScaleNormal="85" workbookViewId="0">
      <selection activeCell="S14" sqref="S14"/>
    </sheetView>
  </sheetViews>
  <sheetFormatPr defaultRowHeight="15" x14ac:dyDescent="0.25"/>
  <cols>
    <col min="1" max="3" width="16.7109375" customWidth="1"/>
    <col min="4" max="4" width="5.7109375" customWidth="1"/>
    <col min="5" max="7" width="16.7109375" customWidth="1"/>
    <col min="8" max="8" width="5.7109375" customWidth="1"/>
    <col min="9" max="11" width="16.7109375" customWidth="1"/>
    <col min="12" max="12" width="5.7109375" customWidth="1"/>
    <col min="13" max="15" width="16.7109375" customWidth="1"/>
    <col min="16" max="16" width="5.7109375" customWidth="1"/>
    <col min="17" max="19" width="16.7109375" customWidth="1"/>
  </cols>
  <sheetData>
    <row r="1" spans="1:19" x14ac:dyDescent="0.25">
      <c r="A1" s="6" t="s">
        <v>189</v>
      </c>
      <c r="E1" s="6" t="s">
        <v>190</v>
      </c>
      <c r="I1" s="6" t="s">
        <v>191</v>
      </c>
      <c r="M1" s="6" t="s">
        <v>192</v>
      </c>
      <c r="Q1" s="6"/>
    </row>
    <row r="2" spans="1:19" x14ac:dyDescent="0.25">
      <c r="A2" s="1" t="s">
        <v>168</v>
      </c>
      <c r="B2" s="1" t="s">
        <v>2</v>
      </c>
      <c r="C2" s="1" t="s">
        <v>3</v>
      </c>
      <c r="D2" s="1"/>
      <c r="E2" s="1" t="s">
        <v>168</v>
      </c>
      <c r="F2" s="1" t="s">
        <v>2</v>
      </c>
      <c r="G2" s="1" t="s">
        <v>3</v>
      </c>
      <c r="H2" s="1"/>
      <c r="I2" s="1" t="s">
        <v>168</v>
      </c>
      <c r="J2" s="1" t="s">
        <v>2</v>
      </c>
      <c r="K2" s="1" t="s">
        <v>3</v>
      </c>
      <c r="L2" s="1"/>
      <c r="M2" s="1" t="s">
        <v>168</v>
      </c>
      <c r="N2" s="1" t="s">
        <v>2</v>
      </c>
      <c r="O2" s="1" t="s">
        <v>3</v>
      </c>
      <c r="Q2" s="1"/>
      <c r="R2" s="1"/>
      <c r="S2" s="1"/>
    </row>
    <row r="3" spans="1:19" x14ac:dyDescent="0.25">
      <c r="A3">
        <v>1</v>
      </c>
      <c r="B3" t="s">
        <v>4</v>
      </c>
      <c r="C3" t="s">
        <v>4</v>
      </c>
      <c r="E3">
        <v>1</v>
      </c>
      <c r="F3" t="s">
        <v>4</v>
      </c>
      <c r="G3" t="s">
        <v>4</v>
      </c>
      <c r="I3">
        <v>1</v>
      </c>
      <c r="J3" t="s">
        <v>4</v>
      </c>
      <c r="K3" t="s">
        <v>4</v>
      </c>
      <c r="M3">
        <v>1</v>
      </c>
      <c r="N3" t="s">
        <v>4</v>
      </c>
      <c r="O3" t="s">
        <v>4</v>
      </c>
    </row>
    <row r="4" spans="1:19" x14ac:dyDescent="0.25">
      <c r="A4">
        <v>2</v>
      </c>
      <c r="C4" t="s">
        <v>55</v>
      </c>
      <c r="E4">
        <v>2</v>
      </c>
      <c r="G4" t="s">
        <v>55</v>
      </c>
      <c r="I4">
        <v>2</v>
      </c>
      <c r="K4" t="s">
        <v>55</v>
      </c>
      <c r="M4">
        <v>2</v>
      </c>
      <c r="O4" t="s">
        <v>55</v>
      </c>
    </row>
    <row r="5" spans="1:19" x14ac:dyDescent="0.25">
      <c r="A5">
        <v>3</v>
      </c>
      <c r="C5" t="s">
        <v>53</v>
      </c>
      <c r="E5">
        <v>3</v>
      </c>
      <c r="G5" t="s">
        <v>53</v>
      </c>
      <c r="I5">
        <v>3</v>
      </c>
      <c r="K5" t="s">
        <v>53</v>
      </c>
      <c r="M5">
        <v>3</v>
      </c>
      <c r="O5" t="s">
        <v>53</v>
      </c>
    </row>
    <row r="6" spans="1:19" x14ac:dyDescent="0.25">
      <c r="A6">
        <v>4</v>
      </c>
      <c r="E6">
        <v>4</v>
      </c>
      <c r="I6">
        <v>4</v>
      </c>
      <c r="M6">
        <v>4</v>
      </c>
    </row>
    <row r="7" spans="1:19" x14ac:dyDescent="0.25">
      <c r="A7">
        <v>5</v>
      </c>
      <c r="E7">
        <v>5</v>
      </c>
      <c r="I7">
        <v>5</v>
      </c>
      <c r="M7">
        <v>5</v>
      </c>
    </row>
    <row r="8" spans="1:19" x14ac:dyDescent="0.25">
      <c r="A8">
        <v>6</v>
      </c>
      <c r="E8">
        <v>6</v>
      </c>
      <c r="I8">
        <v>6</v>
      </c>
      <c r="M8">
        <v>6</v>
      </c>
    </row>
    <row r="9" spans="1:19" x14ac:dyDescent="0.25">
      <c r="A9">
        <v>7</v>
      </c>
      <c r="E9">
        <v>7</v>
      </c>
      <c r="I9">
        <v>7</v>
      </c>
      <c r="M9">
        <v>7</v>
      </c>
    </row>
    <row r="10" spans="1:19" x14ac:dyDescent="0.25">
      <c r="A10" s="1" t="s">
        <v>185</v>
      </c>
      <c r="B10" s="1" t="s">
        <v>2</v>
      </c>
      <c r="C10" s="1" t="s">
        <v>3</v>
      </c>
      <c r="E10" s="1" t="s">
        <v>185</v>
      </c>
      <c r="F10" s="1" t="s">
        <v>2</v>
      </c>
      <c r="G10" s="1" t="s">
        <v>3</v>
      </c>
      <c r="I10" s="1" t="s">
        <v>185</v>
      </c>
      <c r="J10" s="1" t="s">
        <v>2</v>
      </c>
      <c r="K10" s="1" t="s">
        <v>3</v>
      </c>
      <c r="M10" s="1" t="s">
        <v>185</v>
      </c>
      <c r="N10" s="1" t="s">
        <v>2</v>
      </c>
      <c r="O10" s="1" t="s">
        <v>3</v>
      </c>
      <c r="Q10" s="1"/>
      <c r="R10" s="1"/>
      <c r="S10" s="1"/>
    </row>
    <row r="11" spans="1:19" x14ac:dyDescent="0.25">
      <c r="A11">
        <v>1</v>
      </c>
      <c r="B11" t="s">
        <v>48</v>
      </c>
      <c r="E11">
        <v>1</v>
      </c>
      <c r="F11" t="s">
        <v>48</v>
      </c>
      <c r="I11">
        <v>1</v>
      </c>
      <c r="J11" t="s">
        <v>48</v>
      </c>
      <c r="M11">
        <v>1</v>
      </c>
      <c r="N11" t="s">
        <v>48</v>
      </c>
    </row>
    <row r="12" spans="1:19" x14ac:dyDescent="0.25">
      <c r="A12">
        <v>2</v>
      </c>
      <c r="B12" t="s">
        <v>101</v>
      </c>
      <c r="C12" t="s">
        <v>173</v>
      </c>
      <c r="E12">
        <v>2</v>
      </c>
      <c r="F12" t="s">
        <v>101</v>
      </c>
      <c r="G12" t="s">
        <v>37</v>
      </c>
      <c r="I12">
        <v>2</v>
      </c>
      <c r="J12" t="s">
        <v>173</v>
      </c>
      <c r="K12" t="s">
        <v>34</v>
      </c>
      <c r="M12">
        <v>2</v>
      </c>
      <c r="N12" t="s">
        <v>23</v>
      </c>
      <c r="O12" t="s">
        <v>66</v>
      </c>
      <c r="R12" t="s">
        <v>118</v>
      </c>
      <c r="S12" t="s">
        <v>102</v>
      </c>
    </row>
    <row r="13" spans="1:19" x14ac:dyDescent="0.25">
      <c r="A13">
        <v>3</v>
      </c>
      <c r="B13" t="s">
        <v>183</v>
      </c>
      <c r="C13" t="s">
        <v>180</v>
      </c>
      <c r="E13">
        <v>3</v>
      </c>
      <c r="F13" t="s">
        <v>183</v>
      </c>
      <c r="G13" t="s">
        <v>33</v>
      </c>
      <c r="I13">
        <v>3</v>
      </c>
      <c r="J13" t="s">
        <v>129</v>
      </c>
      <c r="K13" t="s">
        <v>59</v>
      </c>
      <c r="M13">
        <v>3</v>
      </c>
      <c r="N13" t="s">
        <v>22</v>
      </c>
      <c r="O13" t="s">
        <v>514</v>
      </c>
      <c r="S13" t="s">
        <v>175</v>
      </c>
    </row>
    <row r="14" spans="1:19" x14ac:dyDescent="0.25">
      <c r="A14">
        <v>4</v>
      </c>
      <c r="B14" t="s">
        <v>184</v>
      </c>
      <c r="E14">
        <v>4</v>
      </c>
      <c r="F14" t="s">
        <v>173</v>
      </c>
      <c r="I14">
        <v>4</v>
      </c>
      <c r="J14" t="s">
        <v>64</v>
      </c>
      <c r="M14">
        <v>4</v>
      </c>
      <c r="N14" t="s">
        <v>173</v>
      </c>
      <c r="O14" t="s">
        <v>47</v>
      </c>
      <c r="S14" t="s">
        <v>181</v>
      </c>
    </row>
    <row r="15" spans="1:19" x14ac:dyDescent="0.25">
      <c r="A15">
        <v>5</v>
      </c>
      <c r="B15" t="s">
        <v>128</v>
      </c>
      <c r="E15">
        <v>5</v>
      </c>
      <c r="F15" t="s">
        <v>180</v>
      </c>
      <c r="I15">
        <v>5</v>
      </c>
      <c r="J15" t="s">
        <v>45</v>
      </c>
      <c r="M15">
        <v>5</v>
      </c>
      <c r="N15" t="s">
        <v>180</v>
      </c>
      <c r="O15" t="s">
        <v>48</v>
      </c>
    </row>
    <row r="16" spans="1:19" x14ac:dyDescent="0.25">
      <c r="A16">
        <v>6</v>
      </c>
      <c r="B16" t="s">
        <v>106</v>
      </c>
      <c r="E16">
        <v>6</v>
      </c>
      <c r="F16" t="s">
        <v>128</v>
      </c>
      <c r="I16">
        <v>6</v>
      </c>
      <c r="J16" t="s">
        <v>19</v>
      </c>
      <c r="M16">
        <v>6</v>
      </c>
      <c r="N16" t="s">
        <v>26</v>
      </c>
      <c r="O16" t="s">
        <v>119</v>
      </c>
      <c r="R16" t="s">
        <v>117</v>
      </c>
      <c r="S16" t="s">
        <v>82</v>
      </c>
    </row>
    <row r="17" spans="1:19" x14ac:dyDescent="0.25">
      <c r="A17">
        <v>7</v>
      </c>
      <c r="B17" t="s">
        <v>107</v>
      </c>
      <c r="E17">
        <v>7</v>
      </c>
      <c r="F17" s="4" t="s">
        <v>106</v>
      </c>
      <c r="I17">
        <v>7</v>
      </c>
      <c r="J17" t="s">
        <v>49</v>
      </c>
      <c r="M17">
        <v>7</v>
      </c>
      <c r="N17" t="s">
        <v>127</v>
      </c>
      <c r="S17" t="s">
        <v>175</v>
      </c>
    </row>
    <row r="18" spans="1:19" x14ac:dyDescent="0.25">
      <c r="A18">
        <v>8</v>
      </c>
      <c r="B18" t="s">
        <v>127</v>
      </c>
      <c r="E18">
        <v>8</v>
      </c>
      <c r="F18" t="s">
        <v>215</v>
      </c>
      <c r="I18">
        <v>8</v>
      </c>
      <c r="M18">
        <v>8</v>
      </c>
      <c r="N18" t="s">
        <v>101</v>
      </c>
      <c r="S18" t="s">
        <v>108</v>
      </c>
    </row>
    <row r="19" spans="1:19" x14ac:dyDescent="0.25">
      <c r="A19">
        <v>9</v>
      </c>
      <c r="B19" s="5" t="s">
        <v>237</v>
      </c>
      <c r="E19">
        <v>9</v>
      </c>
      <c r="F19" t="s">
        <v>127</v>
      </c>
      <c r="I19">
        <v>9</v>
      </c>
      <c r="J19" t="s">
        <v>18</v>
      </c>
      <c r="K19" t="s">
        <v>38</v>
      </c>
      <c r="M19">
        <v>9</v>
      </c>
    </row>
    <row r="20" spans="1:19" x14ac:dyDescent="0.25">
      <c r="A20">
        <v>10</v>
      </c>
      <c r="B20" s="4" t="s">
        <v>212</v>
      </c>
      <c r="C20" s="4" t="s">
        <v>215</v>
      </c>
      <c r="E20">
        <v>10</v>
      </c>
      <c r="F20" t="s">
        <v>38</v>
      </c>
      <c r="I20">
        <v>10</v>
      </c>
      <c r="J20" t="s">
        <v>46</v>
      </c>
      <c r="M20">
        <v>10</v>
      </c>
      <c r="R20" t="s">
        <v>121</v>
      </c>
      <c r="S20" t="s">
        <v>83</v>
      </c>
    </row>
    <row r="21" spans="1:19" x14ac:dyDescent="0.25">
      <c r="A21">
        <v>11</v>
      </c>
      <c r="E21">
        <v>11</v>
      </c>
      <c r="F21" t="s">
        <v>26</v>
      </c>
      <c r="I21">
        <v>11</v>
      </c>
      <c r="J21" t="s">
        <v>127</v>
      </c>
      <c r="M21">
        <v>11</v>
      </c>
      <c r="S21" t="s">
        <v>175</v>
      </c>
    </row>
    <row r="22" spans="1:19" x14ac:dyDescent="0.25">
      <c r="A22">
        <v>12</v>
      </c>
      <c r="E22">
        <v>12</v>
      </c>
      <c r="I22">
        <v>12</v>
      </c>
      <c r="M22">
        <v>12</v>
      </c>
      <c r="S22" t="s">
        <v>78</v>
      </c>
    </row>
    <row r="23" spans="1:19" x14ac:dyDescent="0.25">
      <c r="A23">
        <v>13</v>
      </c>
      <c r="E23">
        <v>13</v>
      </c>
      <c r="I23">
        <v>13</v>
      </c>
      <c r="M23">
        <v>13</v>
      </c>
    </row>
    <row r="24" spans="1:19" x14ac:dyDescent="0.25">
      <c r="A24">
        <v>14</v>
      </c>
      <c r="E24">
        <v>14</v>
      </c>
      <c r="I24">
        <v>14</v>
      </c>
      <c r="M24">
        <v>14</v>
      </c>
      <c r="R24" t="s">
        <v>122</v>
      </c>
      <c r="S24" t="s">
        <v>181</v>
      </c>
    </row>
    <row r="25" spans="1:19" x14ac:dyDescent="0.25">
      <c r="A25">
        <v>15</v>
      </c>
      <c r="E25">
        <v>15</v>
      </c>
      <c r="I25">
        <v>15</v>
      </c>
      <c r="M25">
        <v>15</v>
      </c>
      <c r="S25" t="s">
        <v>175</v>
      </c>
    </row>
    <row r="26" spans="1:19" x14ac:dyDescent="0.25">
      <c r="A26">
        <v>16</v>
      </c>
      <c r="E26">
        <v>16</v>
      </c>
      <c r="I26">
        <v>16</v>
      </c>
      <c r="M26">
        <v>16</v>
      </c>
      <c r="S26" t="s">
        <v>78</v>
      </c>
    </row>
    <row r="27" spans="1:19" x14ac:dyDescent="0.25">
      <c r="B27" s="1" t="s">
        <v>186</v>
      </c>
      <c r="C27">
        <f>COUNTA(B11:C26)+COUNTA(C3:C9)</f>
        <v>16</v>
      </c>
      <c r="F27" s="1" t="s">
        <v>186</v>
      </c>
      <c r="G27">
        <f>COUNTA(F11:G26)+COUNTA(G3:G9)</f>
        <v>16</v>
      </c>
      <c r="J27" s="1" t="s">
        <v>186</v>
      </c>
      <c r="K27">
        <f>COUNTA(J11:K26)+COUNTA(K3:K9)</f>
        <v>16</v>
      </c>
      <c r="N27" s="1" t="s">
        <v>186</v>
      </c>
      <c r="O27">
        <f>COUNTA(N11:O26)+COUNTA(O3:O9)</f>
        <v>16</v>
      </c>
      <c r="R27" s="1"/>
    </row>
    <row r="28" spans="1:19" x14ac:dyDescent="0.25">
      <c r="R28" t="s">
        <v>120</v>
      </c>
      <c r="S28" t="s">
        <v>99</v>
      </c>
    </row>
    <row r="29" spans="1:19" x14ac:dyDescent="0.25">
      <c r="B29" t="s">
        <v>389</v>
      </c>
      <c r="F29" t="s">
        <v>392</v>
      </c>
      <c r="J29" t="s">
        <v>395</v>
      </c>
      <c r="N29" t="s">
        <v>512</v>
      </c>
      <c r="S29" t="s">
        <v>175</v>
      </c>
    </row>
    <row r="30" spans="1:19" x14ac:dyDescent="0.25">
      <c r="B30" t="s">
        <v>390</v>
      </c>
      <c r="F30" t="s">
        <v>393</v>
      </c>
      <c r="J30" t="s">
        <v>396</v>
      </c>
      <c r="N30" t="s">
        <v>513</v>
      </c>
      <c r="S30" t="s">
        <v>108</v>
      </c>
    </row>
    <row r="31" spans="1:19" x14ac:dyDescent="0.25">
      <c r="B31" t="s">
        <v>391</v>
      </c>
      <c r="J31" t="s">
        <v>397</v>
      </c>
      <c r="N31" t="s">
        <v>515</v>
      </c>
    </row>
    <row r="32" spans="1:19" x14ac:dyDescent="0.25">
      <c r="J32" t="s">
        <v>398</v>
      </c>
      <c r="N32" t="s">
        <v>516</v>
      </c>
    </row>
    <row r="33" spans="10:14" x14ac:dyDescent="0.25">
      <c r="J33" t="s">
        <v>399</v>
      </c>
      <c r="N33" t="s">
        <v>517</v>
      </c>
    </row>
    <row r="34" spans="10:14" x14ac:dyDescent="0.25">
      <c r="J34" t="s">
        <v>394</v>
      </c>
    </row>
    <row r="35" spans="10:14" x14ac:dyDescent="0.25">
      <c r="J35" t="s">
        <v>398</v>
      </c>
    </row>
    <row r="36" spans="10:14" x14ac:dyDescent="0.25">
      <c r="J36" t="s">
        <v>335</v>
      </c>
    </row>
    <row r="37" spans="10:14" x14ac:dyDescent="0.25">
      <c r="J37" t="s">
        <v>401</v>
      </c>
    </row>
    <row r="38" spans="10:14" x14ac:dyDescent="0.25">
      <c r="J38" t="s">
        <v>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7AF3E-896B-4475-BC36-C4119720E41D}">
  <dimension ref="A1:S28"/>
  <sheetViews>
    <sheetView tabSelected="1" zoomScale="85" zoomScaleNormal="85" workbookViewId="0">
      <selection activeCell="S23" sqref="S23"/>
    </sheetView>
  </sheetViews>
  <sheetFormatPr defaultRowHeight="15" x14ac:dyDescent="0.25"/>
  <cols>
    <col min="1" max="3" width="16.7109375" customWidth="1"/>
    <col min="4" max="4" width="5.7109375" customWidth="1"/>
    <col min="5" max="7" width="16.7109375" customWidth="1"/>
    <col min="8" max="8" width="5.7109375" customWidth="1"/>
    <col min="9" max="11" width="16.7109375" customWidth="1"/>
    <col min="12" max="12" width="5.7109375" customWidth="1"/>
    <col min="13" max="15" width="16.7109375" customWidth="1"/>
    <col min="16" max="16" width="5.7109375" customWidth="1"/>
    <col min="17" max="19" width="16.7109375" customWidth="1"/>
  </cols>
  <sheetData>
    <row r="1" spans="1:19" x14ac:dyDescent="0.25">
      <c r="A1" s="6" t="s">
        <v>196</v>
      </c>
      <c r="E1" s="6" t="s">
        <v>198</v>
      </c>
      <c r="I1" s="6" t="s">
        <v>197</v>
      </c>
      <c r="M1" s="6"/>
      <c r="Q1" s="6"/>
    </row>
    <row r="2" spans="1:19" x14ac:dyDescent="0.25">
      <c r="A2" s="1" t="s">
        <v>168</v>
      </c>
      <c r="B2" s="1" t="s">
        <v>2</v>
      </c>
      <c r="C2" s="1" t="s">
        <v>3</v>
      </c>
      <c r="D2" s="1"/>
      <c r="E2" s="1" t="s">
        <v>168</v>
      </c>
      <c r="F2" s="1" t="s">
        <v>2</v>
      </c>
      <c r="G2" s="1" t="s">
        <v>3</v>
      </c>
      <c r="H2" s="1"/>
      <c r="I2" s="1" t="s">
        <v>168</v>
      </c>
      <c r="J2" s="1" t="s">
        <v>2</v>
      </c>
      <c r="K2" s="1" t="s">
        <v>3</v>
      </c>
      <c r="L2" s="1"/>
      <c r="M2" s="1"/>
      <c r="N2" s="1"/>
      <c r="O2" s="1"/>
      <c r="Q2" s="1"/>
      <c r="R2" s="1"/>
      <c r="S2" s="1"/>
    </row>
    <row r="3" spans="1:19" x14ac:dyDescent="0.25">
      <c r="A3">
        <v>1</v>
      </c>
      <c r="B3" t="s">
        <v>4</v>
      </c>
      <c r="C3" t="s">
        <v>4</v>
      </c>
      <c r="E3">
        <v>1</v>
      </c>
      <c r="F3" t="s">
        <v>4</v>
      </c>
      <c r="G3" t="s">
        <v>4</v>
      </c>
      <c r="I3">
        <v>1</v>
      </c>
      <c r="J3" t="s">
        <v>4</v>
      </c>
      <c r="K3" t="s">
        <v>4</v>
      </c>
    </row>
    <row r="4" spans="1:19" x14ac:dyDescent="0.25">
      <c r="A4">
        <v>2</v>
      </c>
      <c r="B4" t="s">
        <v>6</v>
      </c>
      <c r="C4" t="s">
        <v>6</v>
      </c>
      <c r="E4">
        <v>2</v>
      </c>
      <c r="F4" t="s">
        <v>6</v>
      </c>
      <c r="G4" t="s">
        <v>6</v>
      </c>
      <c r="I4">
        <v>2</v>
      </c>
      <c r="J4" t="s">
        <v>6</v>
      </c>
      <c r="K4" t="s">
        <v>6</v>
      </c>
    </row>
    <row r="5" spans="1:19" x14ac:dyDescent="0.25">
      <c r="A5">
        <v>3</v>
      </c>
      <c r="B5" t="s">
        <v>7</v>
      </c>
      <c r="C5" t="s">
        <v>7</v>
      </c>
      <c r="E5">
        <v>3</v>
      </c>
      <c r="F5" t="s">
        <v>7</v>
      </c>
      <c r="G5" t="s">
        <v>7</v>
      </c>
      <c r="I5">
        <v>3</v>
      </c>
    </row>
    <row r="6" spans="1:19" x14ac:dyDescent="0.25">
      <c r="A6">
        <v>4</v>
      </c>
      <c r="B6" t="s">
        <v>35</v>
      </c>
      <c r="C6" t="s">
        <v>35</v>
      </c>
      <c r="E6">
        <v>4</v>
      </c>
      <c r="F6" t="s">
        <v>35</v>
      </c>
      <c r="G6" t="s">
        <v>35</v>
      </c>
      <c r="I6">
        <v>4</v>
      </c>
      <c r="J6" t="s">
        <v>35</v>
      </c>
      <c r="K6" t="s">
        <v>35</v>
      </c>
    </row>
    <row r="7" spans="1:19" x14ac:dyDescent="0.25">
      <c r="A7">
        <v>5</v>
      </c>
      <c r="B7" t="s">
        <v>36</v>
      </c>
      <c r="C7" t="s">
        <v>36</v>
      </c>
      <c r="E7">
        <v>5</v>
      </c>
      <c r="F7" t="s">
        <v>36</v>
      </c>
      <c r="G7" t="s">
        <v>36</v>
      </c>
      <c r="I7">
        <v>5</v>
      </c>
      <c r="J7" t="s">
        <v>36</v>
      </c>
      <c r="K7" t="s">
        <v>36</v>
      </c>
    </row>
    <row r="8" spans="1:19" x14ac:dyDescent="0.25">
      <c r="A8">
        <v>6</v>
      </c>
      <c r="C8" t="s">
        <v>55</v>
      </c>
      <c r="E8">
        <v>6</v>
      </c>
      <c r="G8" t="s">
        <v>55</v>
      </c>
      <c r="I8">
        <v>6</v>
      </c>
      <c r="K8" t="s">
        <v>55</v>
      </c>
    </row>
    <row r="9" spans="1:19" x14ac:dyDescent="0.25">
      <c r="A9">
        <v>7</v>
      </c>
      <c r="C9" t="s">
        <v>53</v>
      </c>
      <c r="E9">
        <v>7</v>
      </c>
      <c r="G9" t="s">
        <v>53</v>
      </c>
      <c r="I9">
        <v>7</v>
      </c>
      <c r="K9" t="s">
        <v>53</v>
      </c>
    </row>
    <row r="10" spans="1:19" x14ac:dyDescent="0.25">
      <c r="A10" s="1" t="s">
        <v>185</v>
      </c>
      <c r="B10" s="1" t="s">
        <v>2</v>
      </c>
      <c r="C10" s="1" t="s">
        <v>3</v>
      </c>
      <c r="E10" s="1" t="s">
        <v>185</v>
      </c>
      <c r="F10" s="1" t="s">
        <v>2</v>
      </c>
      <c r="G10" s="1" t="s">
        <v>3</v>
      </c>
      <c r="I10" s="1" t="s">
        <v>185</v>
      </c>
      <c r="J10" s="1" t="s">
        <v>2</v>
      </c>
      <c r="K10" s="1" t="s">
        <v>3</v>
      </c>
      <c r="M10" s="1"/>
      <c r="N10" s="1"/>
      <c r="O10" s="1"/>
      <c r="Q10" s="1"/>
      <c r="R10" s="1"/>
      <c r="S10" s="1"/>
    </row>
    <row r="11" spans="1:19" x14ac:dyDescent="0.25">
      <c r="A11">
        <v>1</v>
      </c>
      <c r="B11" t="s">
        <v>33</v>
      </c>
      <c r="E11">
        <v>1</v>
      </c>
      <c r="F11" t="s">
        <v>41</v>
      </c>
      <c r="G11" t="s">
        <v>41</v>
      </c>
      <c r="I11">
        <v>1</v>
      </c>
    </row>
    <row r="12" spans="1:19" x14ac:dyDescent="0.25">
      <c r="A12">
        <v>2</v>
      </c>
      <c r="B12" t="s">
        <v>37</v>
      </c>
      <c r="E12">
        <v>2</v>
      </c>
      <c r="F12" t="s">
        <v>33</v>
      </c>
      <c r="I12">
        <v>2</v>
      </c>
    </row>
    <row r="13" spans="1:19" x14ac:dyDescent="0.25">
      <c r="A13">
        <v>3</v>
      </c>
      <c r="B13" t="s">
        <v>34</v>
      </c>
      <c r="E13">
        <v>3</v>
      </c>
      <c r="F13" t="s">
        <v>34</v>
      </c>
      <c r="I13">
        <v>3</v>
      </c>
    </row>
    <row r="14" spans="1:19" x14ac:dyDescent="0.25">
      <c r="A14">
        <v>4</v>
      </c>
      <c r="B14" t="s">
        <v>130</v>
      </c>
      <c r="E14">
        <v>4</v>
      </c>
      <c r="F14" t="s">
        <v>59</v>
      </c>
      <c r="I14">
        <v>4</v>
      </c>
    </row>
    <row r="15" spans="1:19" x14ac:dyDescent="0.25">
      <c r="A15">
        <v>5</v>
      </c>
      <c r="B15" t="s">
        <v>59</v>
      </c>
      <c r="E15">
        <v>5</v>
      </c>
      <c r="F15" t="s">
        <v>130</v>
      </c>
      <c r="I15">
        <v>5</v>
      </c>
    </row>
    <row r="16" spans="1:19" x14ac:dyDescent="0.25">
      <c r="A16">
        <v>6</v>
      </c>
      <c r="B16" t="s">
        <v>119</v>
      </c>
      <c r="E16">
        <v>6</v>
      </c>
      <c r="I16">
        <v>6</v>
      </c>
      <c r="Q16">
        <v>20</v>
      </c>
    </row>
    <row r="17" spans="1:18" x14ac:dyDescent="0.25">
      <c r="A17">
        <v>7</v>
      </c>
      <c r="E17">
        <v>7</v>
      </c>
      <c r="F17" s="4"/>
      <c r="I17">
        <v>7</v>
      </c>
      <c r="J17" s="4"/>
      <c r="Q17">
        <v>8</v>
      </c>
      <c r="R17" s="93">
        <f>Q17/$Q$16</f>
        <v>0.4</v>
      </c>
    </row>
    <row r="18" spans="1:18" x14ac:dyDescent="0.25">
      <c r="A18">
        <v>8</v>
      </c>
      <c r="E18">
        <v>8</v>
      </c>
      <c r="I18">
        <v>8</v>
      </c>
      <c r="Q18">
        <f>Q17-1</f>
        <v>7</v>
      </c>
      <c r="R18" s="93">
        <f>Q18/$Q$16</f>
        <v>0.35</v>
      </c>
    </row>
    <row r="19" spans="1:18" x14ac:dyDescent="0.25">
      <c r="A19">
        <v>9</v>
      </c>
      <c r="E19">
        <v>9</v>
      </c>
      <c r="I19">
        <v>9</v>
      </c>
      <c r="Q19">
        <f t="shared" ref="Q19:Q24" si="0">Q18-1</f>
        <v>6</v>
      </c>
      <c r="R19" s="93">
        <f t="shared" ref="R19:R24" si="1">Q19/$Q$16</f>
        <v>0.3</v>
      </c>
    </row>
    <row r="20" spans="1:18" x14ac:dyDescent="0.25">
      <c r="A20">
        <v>10</v>
      </c>
      <c r="E20">
        <v>10</v>
      </c>
      <c r="I20">
        <v>10</v>
      </c>
      <c r="Q20">
        <f t="shared" si="0"/>
        <v>5</v>
      </c>
      <c r="R20" s="93">
        <f t="shared" si="1"/>
        <v>0.25</v>
      </c>
    </row>
    <row r="21" spans="1:18" x14ac:dyDescent="0.25">
      <c r="A21">
        <v>11</v>
      </c>
      <c r="E21">
        <v>11</v>
      </c>
      <c r="I21">
        <v>11</v>
      </c>
      <c r="Q21">
        <f t="shared" si="0"/>
        <v>4</v>
      </c>
      <c r="R21" s="93">
        <f t="shared" si="1"/>
        <v>0.2</v>
      </c>
    </row>
    <row r="22" spans="1:18" x14ac:dyDescent="0.25">
      <c r="A22">
        <v>12</v>
      </c>
      <c r="E22">
        <v>12</v>
      </c>
      <c r="I22">
        <v>12</v>
      </c>
      <c r="Q22">
        <f t="shared" si="0"/>
        <v>3</v>
      </c>
      <c r="R22" s="93">
        <f t="shared" si="1"/>
        <v>0.15</v>
      </c>
    </row>
    <row r="23" spans="1:18" x14ac:dyDescent="0.25">
      <c r="A23">
        <v>13</v>
      </c>
      <c r="E23">
        <v>13</v>
      </c>
      <c r="I23">
        <v>13</v>
      </c>
      <c r="Q23">
        <f t="shared" si="0"/>
        <v>2</v>
      </c>
      <c r="R23" s="93">
        <f t="shared" si="1"/>
        <v>0.1</v>
      </c>
    </row>
    <row r="24" spans="1:18" x14ac:dyDescent="0.25">
      <c r="A24">
        <v>14</v>
      </c>
      <c r="E24">
        <v>14</v>
      </c>
      <c r="I24">
        <v>14</v>
      </c>
      <c r="Q24">
        <f t="shared" si="0"/>
        <v>1</v>
      </c>
      <c r="R24" s="93">
        <f t="shared" si="1"/>
        <v>0.05</v>
      </c>
    </row>
    <row r="25" spans="1:18" x14ac:dyDescent="0.25">
      <c r="A25">
        <v>15</v>
      </c>
      <c r="E25">
        <v>15</v>
      </c>
      <c r="I25">
        <v>15</v>
      </c>
    </row>
    <row r="26" spans="1:18" x14ac:dyDescent="0.25">
      <c r="A26">
        <v>16</v>
      </c>
      <c r="E26">
        <v>16</v>
      </c>
      <c r="I26">
        <v>16</v>
      </c>
    </row>
    <row r="27" spans="1:18" x14ac:dyDescent="0.25">
      <c r="B27" s="1" t="s">
        <v>186</v>
      </c>
      <c r="C27">
        <f>COUNTA(B11:C26)+COUNTA(C3:C9)</f>
        <v>13</v>
      </c>
      <c r="F27" s="1" t="s">
        <v>186</v>
      </c>
      <c r="G27">
        <f>COUNTA(F11:G26)+COUNTA(G3:G9)</f>
        <v>13</v>
      </c>
      <c r="J27" s="1" t="s">
        <v>186</v>
      </c>
      <c r="K27">
        <f>COUNTA(J11:K26)+COUNTA(K3:K9)</f>
        <v>6</v>
      </c>
      <c r="N27" s="1"/>
    </row>
    <row r="28" spans="1:18" x14ac:dyDescent="0.25">
      <c r="R2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E9079-4D37-4640-A297-D72A56A196A2}">
  <dimension ref="A1:S31"/>
  <sheetViews>
    <sheetView topLeftCell="A9" zoomScale="85" zoomScaleNormal="85" workbookViewId="0">
      <selection activeCell="B29" sqref="B29:B31"/>
    </sheetView>
  </sheetViews>
  <sheetFormatPr defaultRowHeight="15" x14ac:dyDescent="0.25"/>
  <cols>
    <col min="1" max="3" width="16.7109375" customWidth="1"/>
    <col min="4" max="4" width="5.7109375" customWidth="1"/>
    <col min="5" max="7" width="16.7109375" customWidth="1"/>
    <col min="8" max="8" width="5.7109375" customWidth="1"/>
    <col min="9" max="11" width="16.7109375" customWidth="1"/>
    <col min="12" max="12" width="5.7109375" customWidth="1"/>
    <col min="13" max="15" width="16.7109375" customWidth="1"/>
    <col min="16" max="16" width="5.7109375" customWidth="1"/>
    <col min="17" max="19" width="16.7109375" customWidth="1"/>
  </cols>
  <sheetData>
    <row r="1" spans="1:19" x14ac:dyDescent="0.25">
      <c r="A1" s="6" t="s">
        <v>199</v>
      </c>
      <c r="E1" s="6" t="s">
        <v>200</v>
      </c>
      <c r="I1" s="6"/>
      <c r="M1" s="6"/>
      <c r="Q1" s="6"/>
    </row>
    <row r="2" spans="1:19" x14ac:dyDescent="0.25">
      <c r="A2" s="1" t="s">
        <v>168</v>
      </c>
      <c r="B2" s="1" t="s">
        <v>2</v>
      </c>
      <c r="C2" s="1" t="s">
        <v>3</v>
      </c>
      <c r="D2" s="1"/>
      <c r="E2" s="1" t="s">
        <v>168</v>
      </c>
      <c r="F2" s="1" t="s">
        <v>2</v>
      </c>
      <c r="G2" s="1" t="s">
        <v>3</v>
      </c>
      <c r="H2" s="1"/>
      <c r="I2" s="1"/>
      <c r="J2" s="1"/>
      <c r="K2" s="1"/>
      <c r="L2" s="1"/>
      <c r="M2" s="1"/>
      <c r="N2" s="1"/>
      <c r="O2" s="1"/>
      <c r="Q2" s="1"/>
      <c r="R2" s="1"/>
      <c r="S2" s="1"/>
    </row>
    <row r="3" spans="1:19" x14ac:dyDescent="0.25">
      <c r="A3">
        <v>1</v>
      </c>
      <c r="B3" t="s">
        <v>4</v>
      </c>
      <c r="C3" t="s">
        <v>4</v>
      </c>
      <c r="E3">
        <v>1</v>
      </c>
      <c r="F3" t="s">
        <v>4</v>
      </c>
      <c r="G3" t="s">
        <v>4</v>
      </c>
    </row>
    <row r="4" spans="1:19" x14ac:dyDescent="0.25">
      <c r="A4">
        <v>2</v>
      </c>
      <c r="C4" t="s">
        <v>55</v>
      </c>
      <c r="E4">
        <v>2</v>
      </c>
    </row>
    <row r="5" spans="1:19" x14ac:dyDescent="0.25">
      <c r="A5">
        <v>3</v>
      </c>
      <c r="C5" t="s">
        <v>53</v>
      </c>
      <c r="E5">
        <v>3</v>
      </c>
    </row>
    <row r="6" spans="1:19" x14ac:dyDescent="0.25">
      <c r="A6">
        <v>4</v>
      </c>
      <c r="E6">
        <v>4</v>
      </c>
    </row>
    <row r="7" spans="1:19" x14ac:dyDescent="0.25">
      <c r="A7">
        <v>5</v>
      </c>
      <c r="E7">
        <v>5</v>
      </c>
    </row>
    <row r="8" spans="1:19" x14ac:dyDescent="0.25">
      <c r="A8">
        <v>6</v>
      </c>
      <c r="E8">
        <v>6</v>
      </c>
    </row>
    <row r="9" spans="1:19" x14ac:dyDescent="0.25">
      <c r="A9">
        <v>7</v>
      </c>
      <c r="E9">
        <v>7</v>
      </c>
    </row>
    <row r="10" spans="1:19" x14ac:dyDescent="0.25">
      <c r="A10" s="1" t="s">
        <v>185</v>
      </c>
      <c r="B10" s="1" t="s">
        <v>2</v>
      </c>
      <c r="C10" s="1" t="s">
        <v>3</v>
      </c>
      <c r="E10" s="1" t="s">
        <v>185</v>
      </c>
      <c r="F10" s="1" t="s">
        <v>2</v>
      </c>
      <c r="G10" s="1" t="s">
        <v>3</v>
      </c>
      <c r="I10" s="1"/>
      <c r="J10" s="1"/>
      <c r="K10" s="1"/>
      <c r="M10" s="1"/>
      <c r="N10" s="1"/>
      <c r="O10" s="1"/>
      <c r="Q10" s="1"/>
      <c r="R10" s="1"/>
      <c r="S10" s="1"/>
    </row>
    <row r="11" spans="1:19" x14ac:dyDescent="0.25">
      <c r="A11">
        <v>1</v>
      </c>
      <c r="B11" t="s">
        <v>14</v>
      </c>
      <c r="E11">
        <v>1</v>
      </c>
      <c r="F11" t="s">
        <v>56</v>
      </c>
    </row>
    <row r="12" spans="1:19" x14ac:dyDescent="0.25">
      <c r="A12">
        <v>2</v>
      </c>
      <c r="B12" t="s">
        <v>130</v>
      </c>
      <c r="E12">
        <v>2</v>
      </c>
      <c r="F12" t="s">
        <v>55</v>
      </c>
    </row>
    <row r="13" spans="1:19" x14ac:dyDescent="0.25">
      <c r="A13">
        <v>3</v>
      </c>
      <c r="B13" t="s">
        <v>58</v>
      </c>
      <c r="C13" t="s">
        <v>56</v>
      </c>
      <c r="E13">
        <v>3</v>
      </c>
    </row>
    <row r="14" spans="1:19" x14ac:dyDescent="0.25">
      <c r="A14">
        <v>4</v>
      </c>
      <c r="E14">
        <v>4</v>
      </c>
    </row>
    <row r="15" spans="1:19" x14ac:dyDescent="0.25">
      <c r="A15">
        <v>5</v>
      </c>
      <c r="E15">
        <v>5</v>
      </c>
    </row>
    <row r="16" spans="1:19" x14ac:dyDescent="0.25">
      <c r="A16">
        <v>6</v>
      </c>
      <c r="E16">
        <v>6</v>
      </c>
    </row>
    <row r="17" spans="1:18" x14ac:dyDescent="0.25">
      <c r="A17">
        <v>7</v>
      </c>
      <c r="E17">
        <v>7</v>
      </c>
      <c r="F17" s="4"/>
      <c r="J17" s="4"/>
    </row>
    <row r="18" spans="1:18" x14ac:dyDescent="0.25">
      <c r="A18">
        <v>8</v>
      </c>
      <c r="E18">
        <v>8</v>
      </c>
    </row>
    <row r="19" spans="1:18" x14ac:dyDescent="0.25">
      <c r="A19">
        <v>9</v>
      </c>
      <c r="E19">
        <v>9</v>
      </c>
    </row>
    <row r="20" spans="1:18" x14ac:dyDescent="0.25">
      <c r="A20">
        <v>10</v>
      </c>
      <c r="E20">
        <v>10</v>
      </c>
    </row>
    <row r="21" spans="1:18" x14ac:dyDescent="0.25">
      <c r="A21">
        <v>11</v>
      </c>
      <c r="E21">
        <v>11</v>
      </c>
    </row>
    <row r="22" spans="1:18" x14ac:dyDescent="0.25">
      <c r="A22">
        <v>12</v>
      </c>
      <c r="E22">
        <v>12</v>
      </c>
    </row>
    <row r="23" spans="1:18" x14ac:dyDescent="0.25">
      <c r="A23">
        <v>13</v>
      </c>
      <c r="E23">
        <v>13</v>
      </c>
    </row>
    <row r="24" spans="1:18" x14ac:dyDescent="0.25">
      <c r="A24">
        <v>14</v>
      </c>
      <c r="E24">
        <v>14</v>
      </c>
    </row>
    <row r="25" spans="1:18" x14ac:dyDescent="0.25">
      <c r="A25">
        <v>15</v>
      </c>
      <c r="E25">
        <v>15</v>
      </c>
    </row>
    <row r="26" spans="1:18" x14ac:dyDescent="0.25">
      <c r="A26">
        <v>16</v>
      </c>
      <c r="E26">
        <v>16</v>
      </c>
    </row>
    <row r="27" spans="1:18" x14ac:dyDescent="0.25">
      <c r="B27" s="1" t="s">
        <v>186</v>
      </c>
      <c r="C27">
        <f>COUNTA(B11:C26)+COUNTA(C3:C9)</f>
        <v>7</v>
      </c>
      <c r="F27" s="1" t="s">
        <v>186</v>
      </c>
      <c r="G27">
        <f>COUNTA(F11:G26)+COUNTA(G3:G9)</f>
        <v>3</v>
      </c>
      <c r="J27" s="1"/>
      <c r="N27" s="1"/>
      <c r="R27" s="1"/>
    </row>
    <row r="29" spans="1:18" x14ac:dyDescent="0.25">
      <c r="B29" t="s">
        <v>522</v>
      </c>
      <c r="F29" t="s">
        <v>525</v>
      </c>
    </row>
    <row r="30" spans="1:18" x14ac:dyDescent="0.25">
      <c r="B30" t="s">
        <v>523</v>
      </c>
      <c r="F30" t="s">
        <v>526</v>
      </c>
    </row>
    <row r="31" spans="1:18" x14ac:dyDescent="0.25">
      <c r="B31" t="s">
        <v>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9104C-36DD-486A-B2A8-F44B3A66706A}">
  <dimension ref="A1:S30"/>
  <sheetViews>
    <sheetView topLeftCell="A9" zoomScale="85" zoomScaleNormal="85" workbookViewId="0">
      <selection activeCell="F21" sqref="F21"/>
    </sheetView>
  </sheetViews>
  <sheetFormatPr defaultRowHeight="15" x14ac:dyDescent="0.25"/>
  <cols>
    <col min="1" max="3" width="16.7109375" customWidth="1"/>
    <col min="4" max="4" width="5.7109375" customWidth="1"/>
    <col min="5" max="7" width="16.7109375" customWidth="1"/>
    <col min="8" max="8" width="5.7109375" customWidth="1"/>
    <col min="9" max="11" width="16.7109375" customWidth="1"/>
    <col min="12" max="12" width="5.7109375" customWidth="1"/>
    <col min="13" max="15" width="16.7109375" customWidth="1"/>
    <col min="16" max="16" width="5.7109375" customWidth="1"/>
    <col min="17" max="19" width="16.7109375" customWidth="1"/>
  </cols>
  <sheetData>
    <row r="1" spans="1:19" x14ac:dyDescent="0.25">
      <c r="A1" s="6" t="s">
        <v>201</v>
      </c>
      <c r="E1" s="6" t="s">
        <v>204</v>
      </c>
      <c r="I1" s="6" t="s">
        <v>202</v>
      </c>
      <c r="M1" s="6" t="s">
        <v>203</v>
      </c>
      <c r="Q1" s="6"/>
    </row>
    <row r="2" spans="1:19" x14ac:dyDescent="0.25">
      <c r="A2" s="1" t="s">
        <v>168</v>
      </c>
      <c r="B2" s="1" t="s">
        <v>2</v>
      </c>
      <c r="C2" s="1" t="s">
        <v>3</v>
      </c>
      <c r="D2" s="1"/>
      <c r="E2" s="1" t="s">
        <v>168</v>
      </c>
      <c r="F2" s="1" t="s">
        <v>2</v>
      </c>
      <c r="G2" s="1" t="s">
        <v>3</v>
      </c>
      <c r="H2" s="1"/>
      <c r="I2" s="1" t="s">
        <v>168</v>
      </c>
      <c r="J2" s="1" t="s">
        <v>2</v>
      </c>
      <c r="K2" s="1" t="s">
        <v>3</v>
      </c>
      <c r="L2" s="1"/>
      <c r="M2" s="1" t="s">
        <v>168</v>
      </c>
      <c r="N2" s="1" t="s">
        <v>2</v>
      </c>
      <c r="O2" s="1" t="s">
        <v>3</v>
      </c>
      <c r="Q2" s="1"/>
      <c r="R2" s="1"/>
      <c r="S2" s="1"/>
    </row>
    <row r="3" spans="1:19" x14ac:dyDescent="0.25">
      <c r="A3">
        <v>1</v>
      </c>
      <c r="E3">
        <v>1</v>
      </c>
      <c r="I3">
        <v>1</v>
      </c>
      <c r="M3">
        <v>1</v>
      </c>
      <c r="N3" t="s">
        <v>7</v>
      </c>
      <c r="O3" t="s">
        <v>7</v>
      </c>
    </row>
    <row r="4" spans="1:19" x14ac:dyDescent="0.25">
      <c r="A4">
        <v>2</v>
      </c>
      <c r="E4">
        <v>2</v>
      </c>
      <c r="I4">
        <v>2</v>
      </c>
      <c r="M4">
        <v>2</v>
      </c>
      <c r="N4" t="s">
        <v>35</v>
      </c>
      <c r="O4" t="s">
        <v>35</v>
      </c>
    </row>
    <row r="5" spans="1:19" x14ac:dyDescent="0.25">
      <c r="A5">
        <v>3</v>
      </c>
      <c r="E5">
        <v>3</v>
      </c>
      <c r="I5">
        <v>3</v>
      </c>
      <c r="M5">
        <v>3</v>
      </c>
      <c r="N5" t="s">
        <v>36</v>
      </c>
      <c r="O5" t="s">
        <v>36</v>
      </c>
    </row>
    <row r="6" spans="1:19" x14ac:dyDescent="0.25">
      <c r="A6">
        <v>4</v>
      </c>
      <c r="E6">
        <v>4</v>
      </c>
      <c r="I6">
        <v>4</v>
      </c>
      <c r="M6">
        <v>4</v>
      </c>
    </row>
    <row r="7" spans="1:19" x14ac:dyDescent="0.25">
      <c r="A7">
        <v>5</v>
      </c>
      <c r="E7">
        <v>5</v>
      </c>
      <c r="I7">
        <v>5</v>
      </c>
      <c r="M7">
        <v>5</v>
      </c>
    </row>
    <row r="8" spans="1:19" x14ac:dyDescent="0.25">
      <c r="A8">
        <v>6</v>
      </c>
      <c r="E8">
        <v>6</v>
      </c>
      <c r="I8">
        <v>6</v>
      </c>
      <c r="M8">
        <v>6</v>
      </c>
    </row>
    <row r="9" spans="1:19" x14ac:dyDescent="0.25">
      <c r="A9">
        <v>7</v>
      </c>
      <c r="E9">
        <v>7</v>
      </c>
      <c r="I9">
        <v>7</v>
      </c>
      <c r="M9">
        <v>7</v>
      </c>
    </row>
    <row r="10" spans="1:19" x14ac:dyDescent="0.25">
      <c r="A10" s="1" t="s">
        <v>185</v>
      </c>
      <c r="B10" s="1" t="s">
        <v>2</v>
      </c>
      <c r="C10" s="1" t="s">
        <v>3</v>
      </c>
      <c r="E10" s="1" t="s">
        <v>185</v>
      </c>
      <c r="F10" s="1" t="s">
        <v>2</v>
      </c>
      <c r="G10" s="1" t="s">
        <v>3</v>
      </c>
      <c r="I10" s="1" t="s">
        <v>185</v>
      </c>
      <c r="J10" s="1" t="s">
        <v>2</v>
      </c>
      <c r="K10" s="1" t="s">
        <v>3</v>
      </c>
      <c r="M10" s="1" t="s">
        <v>185</v>
      </c>
      <c r="N10" s="1" t="s">
        <v>2</v>
      </c>
      <c r="O10" s="1" t="s">
        <v>3</v>
      </c>
      <c r="Q10" s="1"/>
      <c r="R10" s="1"/>
      <c r="S10" s="1"/>
    </row>
    <row r="11" spans="1:19" x14ac:dyDescent="0.25">
      <c r="A11">
        <v>1</v>
      </c>
      <c r="B11" t="s">
        <v>88</v>
      </c>
      <c r="E11">
        <v>1</v>
      </c>
      <c r="F11" t="s">
        <v>31</v>
      </c>
      <c r="I11">
        <v>1</v>
      </c>
      <c r="M11">
        <v>1</v>
      </c>
      <c r="N11" t="s">
        <v>41</v>
      </c>
      <c r="O11" t="s">
        <v>41</v>
      </c>
    </row>
    <row r="12" spans="1:19" x14ac:dyDescent="0.25">
      <c r="A12">
        <v>2</v>
      </c>
      <c r="B12" t="s">
        <v>14</v>
      </c>
      <c r="E12">
        <v>2</v>
      </c>
      <c r="F12" t="s">
        <v>38</v>
      </c>
      <c r="I12">
        <v>2</v>
      </c>
      <c r="M12">
        <v>2</v>
      </c>
    </row>
    <row r="13" spans="1:19" x14ac:dyDescent="0.25">
      <c r="A13">
        <v>3</v>
      </c>
      <c r="B13" t="s">
        <v>15</v>
      </c>
      <c r="E13">
        <v>3</v>
      </c>
      <c r="F13" t="s">
        <v>129</v>
      </c>
      <c r="I13">
        <v>3</v>
      </c>
      <c r="J13" t="s">
        <v>26</v>
      </c>
      <c r="M13">
        <v>3</v>
      </c>
    </row>
    <row r="14" spans="1:19" x14ac:dyDescent="0.25">
      <c r="A14">
        <v>4</v>
      </c>
      <c r="B14" t="s">
        <v>16</v>
      </c>
      <c r="E14">
        <v>4</v>
      </c>
      <c r="F14" t="s">
        <v>64</v>
      </c>
      <c r="I14">
        <v>4</v>
      </c>
      <c r="J14" t="s">
        <v>107</v>
      </c>
      <c r="M14">
        <v>4</v>
      </c>
    </row>
    <row r="15" spans="1:19" x14ac:dyDescent="0.25">
      <c r="A15">
        <v>5</v>
      </c>
      <c r="B15" t="s">
        <v>125</v>
      </c>
      <c r="E15">
        <v>5</v>
      </c>
      <c r="F15" t="s">
        <v>45</v>
      </c>
      <c r="I15">
        <v>5</v>
      </c>
      <c r="J15" t="s">
        <v>128</v>
      </c>
      <c r="M15">
        <v>5</v>
      </c>
    </row>
    <row r="16" spans="1:19" x14ac:dyDescent="0.25">
      <c r="A16">
        <v>6</v>
      </c>
      <c r="B16" t="s">
        <v>32</v>
      </c>
      <c r="E16">
        <v>6</v>
      </c>
      <c r="F16" t="s">
        <v>19</v>
      </c>
      <c r="I16">
        <v>6</v>
      </c>
      <c r="J16" t="s">
        <v>106</v>
      </c>
      <c r="M16">
        <v>6</v>
      </c>
    </row>
    <row r="17" spans="1:18" x14ac:dyDescent="0.25">
      <c r="A17">
        <v>7</v>
      </c>
      <c r="B17" t="s">
        <v>205</v>
      </c>
      <c r="E17">
        <v>7</v>
      </c>
      <c r="F17" s="4"/>
      <c r="I17">
        <v>7</v>
      </c>
      <c r="J17" s="4" t="s">
        <v>173</v>
      </c>
      <c r="M17">
        <v>7</v>
      </c>
      <c r="N17" s="4"/>
    </row>
    <row r="18" spans="1:18" x14ac:dyDescent="0.25">
      <c r="A18">
        <v>8</v>
      </c>
      <c r="B18" t="s">
        <v>101</v>
      </c>
      <c r="E18">
        <v>8</v>
      </c>
      <c r="F18" t="s">
        <v>67</v>
      </c>
      <c r="I18">
        <v>8</v>
      </c>
      <c r="J18" t="s">
        <v>180</v>
      </c>
      <c r="M18">
        <v>8</v>
      </c>
    </row>
    <row r="19" spans="1:18" x14ac:dyDescent="0.25">
      <c r="A19">
        <v>9</v>
      </c>
      <c r="B19" t="s">
        <v>183</v>
      </c>
      <c r="E19">
        <v>9</v>
      </c>
      <c r="F19" t="s">
        <v>34</v>
      </c>
      <c r="I19">
        <v>9</v>
      </c>
      <c r="J19" t="s">
        <v>37</v>
      </c>
      <c r="M19">
        <v>9</v>
      </c>
    </row>
    <row r="20" spans="1:18" x14ac:dyDescent="0.25">
      <c r="A20">
        <v>10</v>
      </c>
      <c r="B20" t="s">
        <v>184</v>
      </c>
      <c r="E20">
        <v>10</v>
      </c>
      <c r="F20" t="s">
        <v>59</v>
      </c>
      <c r="I20">
        <v>10</v>
      </c>
      <c r="J20" t="s">
        <v>33</v>
      </c>
      <c r="M20">
        <v>10</v>
      </c>
    </row>
    <row r="21" spans="1:18" x14ac:dyDescent="0.25">
      <c r="A21">
        <v>11</v>
      </c>
      <c r="B21" t="s">
        <v>24</v>
      </c>
      <c r="E21">
        <v>11</v>
      </c>
      <c r="F21" t="s">
        <v>49</v>
      </c>
      <c r="I21">
        <v>11</v>
      </c>
      <c r="J21" t="s">
        <v>17</v>
      </c>
      <c r="M21">
        <v>11</v>
      </c>
    </row>
    <row r="22" spans="1:18" x14ac:dyDescent="0.25">
      <c r="A22">
        <v>12</v>
      </c>
      <c r="B22" t="s">
        <v>130</v>
      </c>
      <c r="E22">
        <v>12</v>
      </c>
      <c r="I22">
        <v>12</v>
      </c>
      <c r="J22" t="s">
        <v>9</v>
      </c>
      <c r="M22">
        <v>12</v>
      </c>
    </row>
    <row r="23" spans="1:18" x14ac:dyDescent="0.25">
      <c r="A23">
        <v>13</v>
      </c>
      <c r="B23" t="s">
        <v>127</v>
      </c>
      <c r="E23">
        <v>13</v>
      </c>
      <c r="I23">
        <v>13</v>
      </c>
      <c r="J23" t="s">
        <v>119</v>
      </c>
      <c r="M23">
        <v>13</v>
      </c>
    </row>
    <row r="24" spans="1:18" x14ac:dyDescent="0.25">
      <c r="A24">
        <v>14</v>
      </c>
      <c r="B24" t="s">
        <v>51</v>
      </c>
      <c r="E24">
        <v>14</v>
      </c>
      <c r="I24">
        <v>14</v>
      </c>
      <c r="J24" t="s">
        <v>47</v>
      </c>
      <c r="M24">
        <v>14</v>
      </c>
    </row>
    <row r="25" spans="1:18" x14ac:dyDescent="0.25">
      <c r="A25">
        <v>15</v>
      </c>
      <c r="B25" s="5" t="s">
        <v>212</v>
      </c>
      <c r="E25">
        <v>15</v>
      </c>
      <c r="I25">
        <v>15</v>
      </c>
      <c r="J25" t="s">
        <v>48</v>
      </c>
      <c r="M25">
        <v>15</v>
      </c>
    </row>
    <row r="26" spans="1:18" x14ac:dyDescent="0.25">
      <c r="A26">
        <v>16</v>
      </c>
      <c r="E26">
        <v>16</v>
      </c>
      <c r="I26">
        <v>16</v>
      </c>
      <c r="J26" s="5" t="s">
        <v>215</v>
      </c>
      <c r="M26">
        <v>16</v>
      </c>
    </row>
    <row r="27" spans="1:18" x14ac:dyDescent="0.25">
      <c r="B27" s="1" t="s">
        <v>186</v>
      </c>
      <c r="C27">
        <f>COUNTA(B11:C26)+COUNTA(C3:C9)</f>
        <v>15</v>
      </c>
      <c r="F27" s="1" t="s">
        <v>186</v>
      </c>
      <c r="G27">
        <f>COUNTA(F11:G26)+COUNTA(G3:G9)</f>
        <v>10</v>
      </c>
      <c r="J27" s="1" t="s">
        <v>186</v>
      </c>
      <c r="K27">
        <f>COUNTA(J11:K26)+COUNTA(K3:K9)</f>
        <v>14</v>
      </c>
      <c r="N27" s="1" t="s">
        <v>186</v>
      </c>
      <c r="O27">
        <f>COUNTA(N11:O26)+COUNTA(O3:O9)</f>
        <v>5</v>
      </c>
      <c r="R27" s="1"/>
    </row>
    <row r="30" spans="1:18" x14ac:dyDescent="0.25">
      <c r="B30" t="s">
        <v>518</v>
      </c>
      <c r="F30" t="s">
        <v>519</v>
      </c>
      <c r="J30" t="s">
        <v>520</v>
      </c>
      <c r="N30" t="s">
        <v>521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D8179-D070-4DE3-9B44-8FA307B4726B}">
  <dimension ref="A1:S28"/>
  <sheetViews>
    <sheetView workbookViewId="0">
      <selection activeCell="Q24" sqref="Q24"/>
    </sheetView>
  </sheetViews>
  <sheetFormatPr defaultRowHeight="15" x14ac:dyDescent="0.25"/>
  <cols>
    <col min="1" max="1" width="18.140625" bestFit="1" customWidth="1"/>
    <col min="2" max="2" width="10.42578125" bestFit="1" customWidth="1"/>
    <col min="8" max="8" width="12.85546875" bestFit="1" customWidth="1"/>
    <col min="14" max="14" width="11" bestFit="1" customWidth="1"/>
  </cols>
  <sheetData>
    <row r="1" spans="1:19" x14ac:dyDescent="0.25">
      <c r="A1" t="s">
        <v>136</v>
      </c>
      <c r="B1" t="s">
        <v>332</v>
      </c>
      <c r="C1">
        <v>1</v>
      </c>
      <c r="D1">
        <v>2</v>
      </c>
      <c r="E1">
        <v>3</v>
      </c>
      <c r="F1">
        <v>4</v>
      </c>
      <c r="G1">
        <v>5</v>
      </c>
      <c r="H1" t="s">
        <v>333</v>
      </c>
      <c r="I1">
        <v>1</v>
      </c>
      <c r="J1">
        <v>2</v>
      </c>
      <c r="K1">
        <v>3</v>
      </c>
      <c r="L1">
        <v>4</v>
      </c>
      <c r="M1">
        <v>5</v>
      </c>
      <c r="N1" t="s">
        <v>334</v>
      </c>
      <c r="O1">
        <v>1</v>
      </c>
      <c r="P1">
        <v>2</v>
      </c>
      <c r="Q1">
        <v>3</v>
      </c>
      <c r="R1">
        <v>4</v>
      </c>
      <c r="S1">
        <v>5</v>
      </c>
    </row>
    <row r="2" spans="1:19" x14ac:dyDescent="0.25">
      <c r="A2" t="s">
        <v>335</v>
      </c>
      <c r="B2" t="s">
        <v>133</v>
      </c>
      <c r="C2">
        <v>20</v>
      </c>
      <c r="D2">
        <v>500</v>
      </c>
      <c r="E2" s="91">
        <v>1000</v>
      </c>
      <c r="F2" s="91">
        <v>2500</v>
      </c>
      <c r="H2" t="s">
        <v>122</v>
      </c>
      <c r="I2">
        <v>20</v>
      </c>
      <c r="J2" s="91">
        <v>1000</v>
      </c>
    </row>
    <row r="3" spans="1:19" x14ac:dyDescent="0.25">
      <c r="A3" t="s">
        <v>336</v>
      </c>
      <c r="B3" t="s">
        <v>96</v>
      </c>
      <c r="C3">
        <v>20</v>
      </c>
      <c r="D3">
        <v>500</v>
      </c>
      <c r="E3" s="91">
        <v>1000</v>
      </c>
      <c r="H3" t="s">
        <v>102</v>
      </c>
      <c r="I3">
        <v>20</v>
      </c>
      <c r="J3" s="91">
        <v>1000</v>
      </c>
    </row>
    <row r="4" spans="1:19" x14ac:dyDescent="0.25">
      <c r="A4" t="s">
        <v>337</v>
      </c>
      <c r="B4" t="s">
        <v>96</v>
      </c>
      <c r="C4">
        <v>20</v>
      </c>
      <c r="D4">
        <v>500</v>
      </c>
      <c r="E4" s="91">
        <v>1000</v>
      </c>
      <c r="H4" t="s">
        <v>122</v>
      </c>
      <c r="I4">
        <v>20</v>
      </c>
      <c r="J4" s="91">
        <v>1000</v>
      </c>
    </row>
    <row r="5" spans="1:19" x14ac:dyDescent="0.25">
      <c r="A5" t="s">
        <v>338</v>
      </c>
      <c r="B5" t="s">
        <v>77</v>
      </c>
      <c r="C5">
        <v>20</v>
      </c>
      <c r="D5">
        <v>500</v>
      </c>
      <c r="E5" s="91">
        <v>1000</v>
      </c>
      <c r="H5" t="s">
        <v>122</v>
      </c>
      <c r="I5">
        <v>20</v>
      </c>
      <c r="J5" s="91">
        <v>1000</v>
      </c>
    </row>
    <row r="6" spans="1:19" x14ac:dyDescent="0.25">
      <c r="A6" t="s">
        <v>339</v>
      </c>
      <c r="B6" t="s">
        <v>133</v>
      </c>
      <c r="C6">
        <v>20</v>
      </c>
      <c r="D6">
        <v>500</v>
      </c>
      <c r="E6" s="91">
        <v>1000</v>
      </c>
      <c r="H6" t="s">
        <v>122</v>
      </c>
      <c r="I6">
        <v>20</v>
      </c>
      <c r="J6" s="91">
        <v>1000</v>
      </c>
    </row>
    <row r="7" spans="1:19" x14ac:dyDescent="0.25">
      <c r="A7" t="s">
        <v>340</v>
      </c>
      <c r="B7" t="s">
        <v>98</v>
      </c>
      <c r="C7">
        <v>20</v>
      </c>
      <c r="D7">
        <v>500</v>
      </c>
      <c r="E7" s="91">
        <v>1000</v>
      </c>
      <c r="H7" t="s">
        <v>122</v>
      </c>
      <c r="I7">
        <v>20</v>
      </c>
      <c r="J7" s="91">
        <v>1000</v>
      </c>
    </row>
    <row r="8" spans="1:19" x14ac:dyDescent="0.25">
      <c r="A8" t="s">
        <v>341</v>
      </c>
      <c r="B8" t="s">
        <v>89</v>
      </c>
      <c r="C8">
        <v>20</v>
      </c>
      <c r="D8">
        <v>500</v>
      </c>
      <c r="E8" s="4">
        <v>1000</v>
      </c>
      <c r="F8">
        <v>2000</v>
      </c>
      <c r="G8">
        <v>4000</v>
      </c>
    </row>
    <row r="9" spans="1:19" x14ac:dyDescent="0.25">
      <c r="A9" t="s">
        <v>342</v>
      </c>
      <c r="B9" t="s">
        <v>93</v>
      </c>
      <c r="C9">
        <v>20</v>
      </c>
      <c r="D9">
        <v>500</v>
      </c>
      <c r="E9" s="91">
        <v>1000</v>
      </c>
      <c r="F9" s="91">
        <v>2500</v>
      </c>
      <c r="H9" t="s">
        <v>104</v>
      </c>
      <c r="I9">
        <v>20</v>
      </c>
      <c r="J9" s="91">
        <v>1000</v>
      </c>
      <c r="N9" t="s">
        <v>176</v>
      </c>
      <c r="O9">
        <v>20</v>
      </c>
      <c r="P9">
        <v>800</v>
      </c>
      <c r="Q9" s="91">
        <v>1500</v>
      </c>
    </row>
    <row r="10" spans="1:19" x14ac:dyDescent="0.25">
      <c r="A10" t="s">
        <v>343</v>
      </c>
      <c r="B10" t="s">
        <v>92</v>
      </c>
      <c r="C10">
        <v>20</v>
      </c>
      <c r="D10">
        <v>500</v>
      </c>
      <c r="E10" s="91">
        <v>1000</v>
      </c>
      <c r="H10" t="s">
        <v>100</v>
      </c>
      <c r="I10">
        <v>20</v>
      </c>
      <c r="J10" s="91">
        <v>1000</v>
      </c>
    </row>
    <row r="11" spans="1:19" x14ac:dyDescent="0.25">
      <c r="A11" t="s">
        <v>344</v>
      </c>
      <c r="B11" t="s">
        <v>102</v>
      </c>
      <c r="C11">
        <v>20</v>
      </c>
      <c r="D11">
        <v>500</v>
      </c>
      <c r="E11" s="91">
        <v>1000</v>
      </c>
      <c r="H11" t="s">
        <v>104</v>
      </c>
      <c r="I11">
        <v>20</v>
      </c>
      <c r="J11" s="91">
        <v>1000</v>
      </c>
    </row>
    <row r="12" spans="1:19" x14ac:dyDescent="0.25">
      <c r="A12" t="s">
        <v>345</v>
      </c>
      <c r="B12" t="s">
        <v>102</v>
      </c>
      <c r="C12" s="4">
        <v>20</v>
      </c>
      <c r="D12" s="4">
        <v>500</v>
      </c>
      <c r="E12" s="4">
        <v>1000</v>
      </c>
      <c r="F12" s="4">
        <v>2500</v>
      </c>
    </row>
    <row r="13" spans="1:19" x14ac:dyDescent="0.25">
      <c r="A13" t="s">
        <v>346</v>
      </c>
      <c r="B13" t="s">
        <v>102</v>
      </c>
      <c r="C13">
        <v>20</v>
      </c>
      <c r="D13">
        <v>500</v>
      </c>
      <c r="E13" s="91">
        <v>1000</v>
      </c>
      <c r="H13" t="s">
        <v>104</v>
      </c>
      <c r="I13">
        <v>20</v>
      </c>
      <c r="J13" s="91">
        <v>1000</v>
      </c>
    </row>
    <row r="14" spans="1:19" x14ac:dyDescent="0.25">
      <c r="A14" t="s">
        <v>347</v>
      </c>
      <c r="B14" t="s">
        <v>102</v>
      </c>
      <c r="C14" s="4">
        <v>20</v>
      </c>
      <c r="D14" s="4">
        <v>500</v>
      </c>
      <c r="E14" s="4">
        <v>1000</v>
      </c>
    </row>
    <row r="15" spans="1:19" x14ac:dyDescent="0.25">
      <c r="A15" t="s">
        <v>348</v>
      </c>
      <c r="B15" t="s">
        <v>92</v>
      </c>
      <c r="C15">
        <v>20</v>
      </c>
      <c r="D15">
        <v>500</v>
      </c>
      <c r="E15" s="91">
        <v>1000</v>
      </c>
      <c r="F15" s="91">
        <v>2500</v>
      </c>
      <c r="H15" t="s">
        <v>73</v>
      </c>
      <c r="I15">
        <v>20</v>
      </c>
      <c r="J15">
        <v>800</v>
      </c>
      <c r="K15" s="91">
        <v>1500</v>
      </c>
      <c r="N15" t="s">
        <v>176</v>
      </c>
      <c r="O15">
        <v>20</v>
      </c>
      <c r="P15" s="91">
        <v>1000</v>
      </c>
    </row>
    <row r="16" spans="1:19" x14ac:dyDescent="0.25">
      <c r="A16" t="s">
        <v>349</v>
      </c>
      <c r="B16" t="s">
        <v>72</v>
      </c>
      <c r="C16">
        <v>20</v>
      </c>
      <c r="D16">
        <v>500</v>
      </c>
      <c r="E16" s="91">
        <v>1000</v>
      </c>
      <c r="F16" s="91">
        <v>2500</v>
      </c>
      <c r="H16" t="s">
        <v>274</v>
      </c>
      <c r="I16">
        <v>20</v>
      </c>
      <c r="J16">
        <v>1000</v>
      </c>
      <c r="K16" s="91">
        <v>2000</v>
      </c>
      <c r="N16" t="s">
        <v>73</v>
      </c>
      <c r="O16">
        <v>20</v>
      </c>
      <c r="P16" s="91">
        <v>1000</v>
      </c>
    </row>
    <row r="20" spans="1:17" x14ac:dyDescent="0.25">
      <c r="A20" t="s">
        <v>350</v>
      </c>
      <c r="B20">
        <v>20</v>
      </c>
      <c r="C20">
        <f>M20</f>
        <v>400</v>
      </c>
      <c r="D20" s="91">
        <f>C20+$M$20</f>
        <v>800</v>
      </c>
      <c r="E20" s="91">
        <f t="shared" ref="E20:L20" si="0">D20+$M$20</f>
        <v>1200</v>
      </c>
      <c r="F20" s="91">
        <f t="shared" si="0"/>
        <v>1600</v>
      </c>
      <c r="G20" s="91">
        <f t="shared" si="0"/>
        <v>2000</v>
      </c>
      <c r="H20" s="91">
        <f t="shared" si="0"/>
        <v>2400</v>
      </c>
      <c r="I20" s="91">
        <f t="shared" si="0"/>
        <v>2800</v>
      </c>
      <c r="J20" s="91">
        <f t="shared" si="0"/>
        <v>3200</v>
      </c>
      <c r="K20" s="91">
        <f t="shared" si="0"/>
        <v>3600</v>
      </c>
      <c r="L20" s="91">
        <f t="shared" si="0"/>
        <v>4000</v>
      </c>
      <c r="M20">
        <v>400</v>
      </c>
    </row>
    <row r="21" spans="1:17" x14ac:dyDescent="0.25">
      <c r="A21" t="s">
        <v>351</v>
      </c>
      <c r="B21">
        <v>20</v>
      </c>
      <c r="C21">
        <v>800</v>
      </c>
      <c r="D21" s="91">
        <f>C21+800</f>
        <v>1600</v>
      </c>
      <c r="E21" s="91">
        <f t="shared" ref="E21" si="1">D21+800</f>
        <v>2400</v>
      </c>
    </row>
    <row r="22" spans="1:17" x14ac:dyDescent="0.25">
      <c r="A22" t="s">
        <v>352</v>
      </c>
      <c r="B22">
        <v>20</v>
      </c>
      <c r="C22">
        <v>800</v>
      </c>
      <c r="D22" s="91">
        <f>C22+800</f>
        <v>1600</v>
      </c>
    </row>
    <row r="23" spans="1:17" x14ac:dyDescent="0.25">
      <c r="Q23" t="s">
        <v>357</v>
      </c>
    </row>
    <row r="24" spans="1:17" x14ac:dyDescent="0.25">
      <c r="A24" t="s">
        <v>353</v>
      </c>
      <c r="B24">
        <v>20</v>
      </c>
      <c r="C24">
        <f>M24</f>
        <v>800</v>
      </c>
      <c r="D24" s="91">
        <f>C24+$M$24</f>
        <v>1600</v>
      </c>
      <c r="E24" s="91">
        <f t="shared" ref="E24" si="2">D24+$M$24</f>
        <v>2400</v>
      </c>
      <c r="F24" s="91"/>
      <c r="G24" s="91"/>
      <c r="M24">
        <v>800</v>
      </c>
    </row>
    <row r="25" spans="1:17" x14ac:dyDescent="0.25">
      <c r="A25" t="s">
        <v>355</v>
      </c>
      <c r="B25">
        <v>20</v>
      </c>
      <c r="C25">
        <v>400</v>
      </c>
      <c r="D25" s="91">
        <f>C25+400</f>
        <v>800</v>
      </c>
      <c r="E25" s="91">
        <f t="shared" ref="E25" si="3">D25+400</f>
        <v>1200</v>
      </c>
    </row>
    <row r="26" spans="1:17" x14ac:dyDescent="0.25">
      <c r="A26" t="s">
        <v>354</v>
      </c>
      <c r="B26">
        <v>20</v>
      </c>
      <c r="C26">
        <v>400</v>
      </c>
      <c r="D26" s="91">
        <f>C24+400</f>
        <v>1200</v>
      </c>
    </row>
    <row r="28" spans="1:17" x14ac:dyDescent="0.25">
      <c r="A28" t="s">
        <v>356</v>
      </c>
      <c r="B28">
        <v>20</v>
      </c>
      <c r="D28" s="91">
        <f>M28</f>
        <v>1600</v>
      </c>
      <c r="E28" s="91"/>
      <c r="M28">
        <v>1600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0CDE2-2631-4BE3-B6BA-6E4C4BEE10B5}">
  <dimension ref="A1:K65"/>
  <sheetViews>
    <sheetView workbookViewId="0">
      <selection activeCell="A15" sqref="A15"/>
    </sheetView>
  </sheetViews>
  <sheetFormatPr defaultRowHeight="15" x14ac:dyDescent="0.25"/>
  <cols>
    <col min="1" max="1" width="26" bestFit="1" customWidth="1"/>
    <col min="2" max="2" width="23.28515625" customWidth="1"/>
    <col min="3" max="3" width="16.28515625" customWidth="1"/>
    <col min="4" max="4" width="16.140625" bestFit="1" customWidth="1"/>
    <col min="5" max="6" width="9.140625" customWidth="1"/>
    <col min="7" max="7" width="13.7109375" bestFit="1" customWidth="1"/>
    <col min="8" max="8" width="9.140625" customWidth="1"/>
  </cols>
  <sheetData>
    <row r="1" spans="1:11" x14ac:dyDescent="0.25">
      <c r="A1" t="s">
        <v>62</v>
      </c>
      <c r="B1" t="s">
        <v>60</v>
      </c>
      <c r="C1" t="s">
        <v>61</v>
      </c>
      <c r="D1" t="s">
        <v>135</v>
      </c>
      <c r="E1" t="s">
        <v>131</v>
      </c>
      <c r="F1" t="s">
        <v>248</v>
      </c>
      <c r="G1" t="s">
        <v>139</v>
      </c>
      <c r="H1" t="s">
        <v>132</v>
      </c>
      <c r="I1" t="s">
        <v>250</v>
      </c>
      <c r="J1" t="s">
        <v>251</v>
      </c>
      <c r="K1" t="s">
        <v>134</v>
      </c>
    </row>
    <row r="2" spans="1:11" x14ac:dyDescent="0.25">
      <c r="A2" s="8" t="s">
        <v>6</v>
      </c>
      <c r="B2" s="8" t="s">
        <v>6</v>
      </c>
      <c r="C2" s="8" t="s">
        <v>69</v>
      </c>
      <c r="D2" s="8" t="s">
        <v>5</v>
      </c>
      <c r="E2" s="8">
        <v>0</v>
      </c>
      <c r="F2" s="8">
        <v>152</v>
      </c>
      <c r="G2" s="8" t="s">
        <v>256</v>
      </c>
      <c r="H2" s="8" t="s">
        <v>69</v>
      </c>
      <c r="I2" s="8">
        <v>0</v>
      </c>
      <c r="J2" s="8">
        <v>22</v>
      </c>
      <c r="K2" s="8">
        <v>102</v>
      </c>
    </row>
    <row r="3" spans="1:11" x14ac:dyDescent="0.25">
      <c r="A3" s="11" t="s">
        <v>14</v>
      </c>
      <c r="B3" s="11" t="s">
        <v>14</v>
      </c>
      <c r="C3" s="11" t="s">
        <v>73</v>
      </c>
      <c r="D3" s="11" t="s">
        <v>13</v>
      </c>
      <c r="E3" s="11">
        <v>1</v>
      </c>
      <c r="F3" s="11">
        <v>5</v>
      </c>
      <c r="G3" s="11" t="s">
        <v>249</v>
      </c>
      <c r="H3" s="11" t="s">
        <v>73</v>
      </c>
      <c r="I3" s="11">
        <v>30</v>
      </c>
      <c r="J3" s="11">
        <v>255</v>
      </c>
      <c r="K3" s="11">
        <v>74</v>
      </c>
    </row>
    <row r="4" spans="1:11" x14ac:dyDescent="0.25">
      <c r="A4" s="8" t="s">
        <v>35</v>
      </c>
      <c r="B4" s="8" t="s">
        <v>35</v>
      </c>
      <c r="C4" s="8" t="s">
        <v>71</v>
      </c>
      <c r="D4" s="8" t="s">
        <v>5</v>
      </c>
      <c r="E4" s="8">
        <v>2</v>
      </c>
      <c r="F4" s="8">
        <v>15</v>
      </c>
      <c r="G4" s="8" t="s">
        <v>257</v>
      </c>
      <c r="H4" s="8" t="s">
        <v>71</v>
      </c>
      <c r="I4" s="8">
        <v>6</v>
      </c>
      <c r="J4" s="8">
        <v>24</v>
      </c>
      <c r="K4" s="8">
        <v>144</v>
      </c>
    </row>
    <row r="5" spans="1:11" x14ac:dyDescent="0.25">
      <c r="A5" s="11" t="s">
        <v>88</v>
      </c>
      <c r="B5" s="11" t="s">
        <v>11</v>
      </c>
      <c r="C5" s="11" t="s">
        <v>89</v>
      </c>
      <c r="D5" s="11" t="s">
        <v>13</v>
      </c>
      <c r="E5" s="11">
        <v>3</v>
      </c>
      <c r="F5" s="11">
        <v>1</v>
      </c>
      <c r="G5" s="11" t="s">
        <v>270</v>
      </c>
      <c r="H5" s="11" t="s">
        <v>271</v>
      </c>
      <c r="I5" s="11">
        <v>30</v>
      </c>
      <c r="J5" s="11">
        <v>255</v>
      </c>
      <c r="K5" s="11">
        <v>93</v>
      </c>
    </row>
    <row r="6" spans="1:11" x14ac:dyDescent="0.25">
      <c r="A6" s="7" t="s">
        <v>19</v>
      </c>
      <c r="B6" s="7" t="s">
        <v>19</v>
      </c>
      <c r="C6" s="7" t="s">
        <v>98</v>
      </c>
      <c r="D6" s="7" t="s">
        <v>13</v>
      </c>
      <c r="E6" s="7">
        <v>4</v>
      </c>
      <c r="F6" s="7">
        <v>79</v>
      </c>
      <c r="G6" s="7" t="s">
        <v>265</v>
      </c>
      <c r="H6" s="7" t="s">
        <v>98</v>
      </c>
      <c r="I6" s="7">
        <v>0</v>
      </c>
      <c r="J6" s="7">
        <v>22</v>
      </c>
      <c r="K6" s="7">
        <v>125</v>
      </c>
    </row>
    <row r="7" spans="1:11" x14ac:dyDescent="0.25">
      <c r="A7" s="36" t="s">
        <v>33</v>
      </c>
      <c r="B7" s="36" t="s">
        <v>33</v>
      </c>
      <c r="C7" s="36" t="s">
        <v>84</v>
      </c>
      <c r="D7" s="36" t="s">
        <v>0</v>
      </c>
      <c r="E7" s="36">
        <v>5</v>
      </c>
      <c r="F7" s="36">
        <v>194</v>
      </c>
      <c r="G7" s="36" t="s">
        <v>253</v>
      </c>
      <c r="H7" s="36" t="s">
        <v>84</v>
      </c>
      <c r="I7" s="36">
        <v>5</v>
      </c>
      <c r="J7" s="36">
        <v>24</v>
      </c>
      <c r="K7" s="36">
        <v>149</v>
      </c>
    </row>
    <row r="8" spans="1:11" x14ac:dyDescent="0.25">
      <c r="A8" s="7" t="s">
        <v>129</v>
      </c>
      <c r="B8" s="7" t="s">
        <v>44</v>
      </c>
      <c r="C8" s="7" t="s">
        <v>133</v>
      </c>
      <c r="D8" s="7" t="s">
        <v>13</v>
      </c>
      <c r="E8" s="7">
        <v>6</v>
      </c>
      <c r="F8" s="7">
        <v>186</v>
      </c>
      <c r="G8" s="7" t="s">
        <v>253</v>
      </c>
      <c r="H8" s="7" t="s">
        <v>133</v>
      </c>
      <c r="I8" s="7">
        <v>4</v>
      </c>
      <c r="J8" s="7">
        <v>40</v>
      </c>
      <c r="K8" s="7">
        <v>117</v>
      </c>
    </row>
    <row r="9" spans="1:11" x14ac:dyDescent="0.25">
      <c r="A9" s="7" t="s">
        <v>67</v>
      </c>
      <c r="B9" s="7" t="s">
        <v>20</v>
      </c>
      <c r="C9" s="7" t="s">
        <v>100</v>
      </c>
      <c r="D9" s="7" t="s">
        <v>13</v>
      </c>
      <c r="E9" s="7">
        <v>7</v>
      </c>
      <c r="F9" s="7">
        <v>53</v>
      </c>
      <c r="G9" s="7" t="s">
        <v>266</v>
      </c>
      <c r="H9" s="7" t="s">
        <v>267</v>
      </c>
      <c r="I9" s="7">
        <v>24</v>
      </c>
      <c r="J9" s="7">
        <v>255</v>
      </c>
      <c r="K9" s="7">
        <v>98</v>
      </c>
    </row>
    <row r="10" spans="1:11" x14ac:dyDescent="0.25">
      <c r="A10" s="11" t="s">
        <v>15</v>
      </c>
      <c r="B10" s="11" t="s">
        <v>15</v>
      </c>
      <c r="C10" s="11" t="s">
        <v>92</v>
      </c>
      <c r="D10" s="11" t="s">
        <v>13</v>
      </c>
      <c r="E10" s="11">
        <v>8</v>
      </c>
      <c r="F10" s="11">
        <v>63</v>
      </c>
      <c r="G10" s="11" t="s">
        <v>266</v>
      </c>
      <c r="H10" s="11" t="s">
        <v>92</v>
      </c>
      <c r="I10" s="11">
        <v>30</v>
      </c>
      <c r="J10" s="11">
        <v>255</v>
      </c>
      <c r="K10" s="11">
        <v>75</v>
      </c>
    </row>
    <row r="11" spans="1:11" x14ac:dyDescent="0.25">
      <c r="A11" s="18" t="s">
        <v>101</v>
      </c>
      <c r="B11" s="14" t="s">
        <v>101</v>
      </c>
      <c r="C11" s="14" t="s">
        <v>102</v>
      </c>
      <c r="D11" s="14" t="s">
        <v>21</v>
      </c>
      <c r="E11" s="14">
        <v>9</v>
      </c>
      <c r="F11" s="14">
        <v>10</v>
      </c>
      <c r="G11" s="14" t="s">
        <v>249</v>
      </c>
      <c r="H11" s="14" t="s">
        <v>102</v>
      </c>
      <c r="I11" s="14">
        <v>7</v>
      </c>
      <c r="J11" s="14">
        <v>255</v>
      </c>
      <c r="K11" s="14">
        <v>126</v>
      </c>
    </row>
    <row r="12" spans="1:11" x14ac:dyDescent="0.25">
      <c r="A12" s="7" t="s">
        <v>45</v>
      </c>
      <c r="B12" s="7" t="s">
        <v>45</v>
      </c>
      <c r="C12" s="7" t="s">
        <v>77</v>
      </c>
      <c r="D12" s="7" t="s">
        <v>13</v>
      </c>
      <c r="E12" s="7">
        <v>10</v>
      </c>
      <c r="F12" s="7">
        <v>161</v>
      </c>
      <c r="G12" s="7" t="s">
        <v>264</v>
      </c>
      <c r="H12" s="7" t="s">
        <v>77</v>
      </c>
      <c r="I12" s="7">
        <v>0</v>
      </c>
      <c r="J12" s="7">
        <v>20</v>
      </c>
      <c r="K12" s="7">
        <v>135</v>
      </c>
    </row>
    <row r="13" spans="1:11" x14ac:dyDescent="0.25">
      <c r="A13" s="39" t="s">
        <v>34</v>
      </c>
      <c r="B13" s="39" t="s">
        <v>34</v>
      </c>
      <c r="C13" s="39" t="s">
        <v>115</v>
      </c>
      <c r="D13" s="39" t="s">
        <v>0</v>
      </c>
      <c r="E13" s="39">
        <v>11</v>
      </c>
      <c r="F13" s="39">
        <v>48</v>
      </c>
      <c r="G13" s="39" t="s">
        <v>289</v>
      </c>
      <c r="H13" s="39" t="s">
        <v>115</v>
      </c>
      <c r="I13" s="39">
        <v>0</v>
      </c>
      <c r="J13" s="39">
        <v>24</v>
      </c>
      <c r="K13" s="39">
        <v>150</v>
      </c>
    </row>
    <row r="14" spans="1:11" x14ac:dyDescent="0.25">
      <c r="A14" s="2" t="s">
        <v>107</v>
      </c>
      <c r="B14" s="2" t="s">
        <v>28</v>
      </c>
      <c r="C14" s="2" t="s">
        <v>97</v>
      </c>
      <c r="D14" s="2" t="s">
        <v>21</v>
      </c>
      <c r="E14" s="2">
        <v>12</v>
      </c>
      <c r="F14" s="2">
        <v>23</v>
      </c>
      <c r="G14" s="2" t="s">
        <v>287</v>
      </c>
      <c r="H14" s="2" t="s">
        <v>97</v>
      </c>
      <c r="I14" s="2">
        <v>7</v>
      </c>
      <c r="J14" s="2">
        <v>60</v>
      </c>
      <c r="K14" s="2">
        <v>135</v>
      </c>
    </row>
    <row r="15" spans="1:11" x14ac:dyDescent="0.25">
      <c r="A15" s="13" t="s">
        <v>49</v>
      </c>
      <c r="B15" s="13" t="s">
        <v>10</v>
      </c>
      <c r="C15" s="13" t="s">
        <v>87</v>
      </c>
      <c r="D15" s="13" t="s">
        <v>13</v>
      </c>
      <c r="E15" s="13">
        <v>13</v>
      </c>
      <c r="F15" s="13">
        <v>149</v>
      </c>
      <c r="G15" s="13" t="s">
        <v>255</v>
      </c>
      <c r="H15" s="13" t="s">
        <v>279</v>
      </c>
      <c r="I15" s="13">
        <v>12</v>
      </c>
      <c r="J15" s="13">
        <v>30</v>
      </c>
      <c r="K15" s="13">
        <v>144</v>
      </c>
    </row>
    <row r="16" spans="1:11" x14ac:dyDescent="0.25">
      <c r="A16" s="7" t="s">
        <v>46</v>
      </c>
      <c r="B16" s="7" t="s">
        <v>46</v>
      </c>
      <c r="C16" s="7" t="s">
        <v>76</v>
      </c>
      <c r="D16" s="7" t="s">
        <v>13</v>
      </c>
      <c r="E16" s="7">
        <v>14</v>
      </c>
      <c r="F16" s="7">
        <v>135</v>
      </c>
      <c r="G16" s="7" t="s">
        <v>252</v>
      </c>
      <c r="H16" s="7" t="s">
        <v>76</v>
      </c>
      <c r="I16" s="7">
        <v>8</v>
      </c>
      <c r="J16" s="7">
        <v>90</v>
      </c>
      <c r="K16" s="7">
        <v>105</v>
      </c>
    </row>
    <row r="17" spans="1:11" x14ac:dyDescent="0.25">
      <c r="A17" s="34" t="s">
        <v>173</v>
      </c>
      <c r="B17" s="34"/>
      <c r="C17" s="34" t="s">
        <v>175</v>
      </c>
      <c r="D17" s="34" t="s">
        <v>0</v>
      </c>
      <c r="E17" s="34">
        <v>15</v>
      </c>
      <c r="F17" s="34">
        <v>37</v>
      </c>
      <c r="G17" s="34" t="s">
        <v>266</v>
      </c>
      <c r="H17" s="34" t="s">
        <v>175</v>
      </c>
      <c r="I17" s="34">
        <v>5</v>
      </c>
      <c r="J17" s="34">
        <v>24</v>
      </c>
      <c r="K17" s="34">
        <v>149</v>
      </c>
    </row>
    <row r="18" spans="1:11" x14ac:dyDescent="0.25">
      <c r="A18" s="11" t="s">
        <v>12</v>
      </c>
      <c r="B18" s="11" t="s">
        <v>12</v>
      </c>
      <c r="C18" s="11" t="s">
        <v>72</v>
      </c>
      <c r="D18" s="11" t="s">
        <v>13</v>
      </c>
      <c r="E18" s="11">
        <v>16</v>
      </c>
      <c r="F18" s="11">
        <v>196</v>
      </c>
      <c r="G18" s="11" t="s">
        <v>273</v>
      </c>
      <c r="H18" s="11" t="s">
        <v>72</v>
      </c>
      <c r="I18" s="11">
        <v>30</v>
      </c>
      <c r="J18" s="11">
        <v>255</v>
      </c>
      <c r="K18" s="11">
        <v>73</v>
      </c>
    </row>
    <row r="19" spans="1:11" x14ac:dyDescent="0.25">
      <c r="A19" s="2" t="s">
        <v>26</v>
      </c>
      <c r="B19" s="2" t="s">
        <v>26</v>
      </c>
      <c r="C19" s="2" t="s">
        <v>108</v>
      </c>
      <c r="D19" s="2" t="s">
        <v>21</v>
      </c>
      <c r="E19" s="2">
        <v>17</v>
      </c>
      <c r="F19" s="2">
        <v>58</v>
      </c>
      <c r="G19" s="2" t="s">
        <v>266</v>
      </c>
      <c r="H19" s="2" t="s">
        <v>108</v>
      </c>
      <c r="I19" s="10">
        <v>12</v>
      </c>
      <c r="J19" s="2">
        <v>255</v>
      </c>
      <c r="K19" s="2">
        <v>126</v>
      </c>
    </row>
    <row r="20" spans="1:11" x14ac:dyDescent="0.25">
      <c r="A20" s="8" t="s">
        <v>36</v>
      </c>
      <c r="B20" s="8" t="s">
        <v>36</v>
      </c>
      <c r="C20" s="8" t="s">
        <v>86</v>
      </c>
      <c r="D20" s="8" t="s">
        <v>5</v>
      </c>
      <c r="E20" s="8">
        <v>18</v>
      </c>
      <c r="F20" s="8">
        <v>197</v>
      </c>
      <c r="G20" s="8" t="s">
        <v>258</v>
      </c>
      <c r="H20" s="8" t="s">
        <v>259</v>
      </c>
      <c r="I20" s="8">
        <v>6</v>
      </c>
      <c r="J20" s="8">
        <v>24</v>
      </c>
      <c r="K20" s="8">
        <v>150</v>
      </c>
    </row>
    <row r="21" spans="1:11" x14ac:dyDescent="0.25">
      <c r="A21" s="11" t="s">
        <v>63</v>
      </c>
      <c r="B21" s="11" t="s">
        <v>90</v>
      </c>
      <c r="C21" s="11" t="s">
        <v>91</v>
      </c>
      <c r="D21" s="11" t="s">
        <v>13</v>
      </c>
      <c r="E21" s="11">
        <v>19</v>
      </c>
      <c r="F21" s="11">
        <v>12</v>
      </c>
      <c r="G21" s="11" t="s">
        <v>249</v>
      </c>
      <c r="H21" s="11" t="s">
        <v>272</v>
      </c>
      <c r="I21" s="11">
        <v>30</v>
      </c>
      <c r="J21" s="11">
        <v>255</v>
      </c>
      <c r="K21" s="11">
        <v>74</v>
      </c>
    </row>
    <row r="22" spans="1:11" x14ac:dyDescent="0.25">
      <c r="A22" s="7" t="s">
        <v>64</v>
      </c>
      <c r="B22" s="7" t="s">
        <v>95</v>
      </c>
      <c r="C22" s="7" t="s">
        <v>96</v>
      </c>
      <c r="D22" s="7" t="s">
        <v>13</v>
      </c>
      <c r="E22" s="7">
        <v>20</v>
      </c>
      <c r="F22" s="7">
        <v>181</v>
      </c>
      <c r="G22" s="7" t="s">
        <v>254</v>
      </c>
      <c r="H22" s="7" t="s">
        <v>263</v>
      </c>
      <c r="I22" s="7">
        <v>0</v>
      </c>
      <c r="J22" s="7">
        <v>26</v>
      </c>
      <c r="K22" s="7">
        <v>120</v>
      </c>
    </row>
    <row r="23" spans="1:11" x14ac:dyDescent="0.25">
      <c r="A23" s="42" t="s">
        <v>119</v>
      </c>
      <c r="B23" s="42" t="s">
        <v>25</v>
      </c>
      <c r="C23" s="42" t="s">
        <v>120</v>
      </c>
      <c r="D23" s="42" t="s">
        <v>0</v>
      </c>
      <c r="E23" s="42">
        <v>21</v>
      </c>
      <c r="F23" s="42">
        <v>34</v>
      </c>
      <c r="G23" s="42" t="s">
        <v>266</v>
      </c>
      <c r="H23" s="42" t="s">
        <v>298</v>
      </c>
      <c r="I23" s="42">
        <v>12</v>
      </c>
      <c r="J23" s="42">
        <v>255</v>
      </c>
      <c r="K23" s="42">
        <v>136</v>
      </c>
    </row>
    <row r="24" spans="1:11" x14ac:dyDescent="0.25">
      <c r="A24" s="39" t="s">
        <v>59</v>
      </c>
      <c r="B24" s="39" t="s">
        <v>59</v>
      </c>
      <c r="C24" s="39" t="s">
        <v>116</v>
      </c>
      <c r="D24" s="39" t="s">
        <v>0</v>
      </c>
      <c r="E24" s="39">
        <v>22</v>
      </c>
      <c r="F24" s="39">
        <v>180</v>
      </c>
      <c r="G24" s="39" t="s">
        <v>254</v>
      </c>
      <c r="H24" s="39" t="s">
        <v>295</v>
      </c>
      <c r="I24" s="39">
        <v>0</v>
      </c>
      <c r="J24" s="39">
        <v>24</v>
      </c>
      <c r="K24" s="39">
        <v>146</v>
      </c>
    </row>
    <row r="25" spans="1:11" x14ac:dyDescent="0.25">
      <c r="A25" s="42" t="s">
        <v>17</v>
      </c>
      <c r="B25" s="42" t="s">
        <v>17</v>
      </c>
      <c r="C25" s="42" t="s">
        <v>117</v>
      </c>
      <c r="D25" s="42" t="s">
        <v>0</v>
      </c>
      <c r="E25" s="42">
        <v>23</v>
      </c>
      <c r="F25" s="42">
        <v>67</v>
      </c>
      <c r="G25" s="42" t="s">
        <v>273</v>
      </c>
      <c r="H25" s="42" t="s">
        <v>299</v>
      </c>
      <c r="I25" s="42">
        <v>4</v>
      </c>
      <c r="J25" s="42">
        <v>40</v>
      </c>
      <c r="K25" s="42">
        <v>103</v>
      </c>
    </row>
    <row r="26" spans="1:11" x14ac:dyDescent="0.25">
      <c r="A26" s="19" t="s">
        <v>22</v>
      </c>
      <c r="B26" s="19" t="s">
        <v>22</v>
      </c>
      <c r="C26" s="19" t="s">
        <v>99</v>
      </c>
      <c r="D26" s="19" t="s">
        <v>21</v>
      </c>
      <c r="E26" s="19">
        <v>24</v>
      </c>
      <c r="F26" s="19">
        <v>7</v>
      </c>
      <c r="G26" s="19" t="s">
        <v>249</v>
      </c>
      <c r="H26" s="19" t="s">
        <v>99</v>
      </c>
      <c r="I26" s="19">
        <v>30</v>
      </c>
      <c r="J26" s="19">
        <v>255</v>
      </c>
      <c r="K26" s="19">
        <v>71</v>
      </c>
    </row>
    <row r="27" spans="1:11" x14ac:dyDescent="0.25">
      <c r="A27" s="19" t="s">
        <v>106</v>
      </c>
      <c r="B27" s="19" t="s">
        <v>29</v>
      </c>
      <c r="C27" s="19" t="s">
        <v>80</v>
      </c>
      <c r="D27" s="19" t="s">
        <v>21</v>
      </c>
      <c r="E27" s="19">
        <v>25</v>
      </c>
      <c r="F27" s="19">
        <v>210</v>
      </c>
      <c r="G27" s="19" t="s">
        <v>282</v>
      </c>
      <c r="H27" s="19" t="s">
        <v>80</v>
      </c>
      <c r="I27" s="19">
        <v>12</v>
      </c>
      <c r="J27" s="19">
        <v>255</v>
      </c>
      <c r="K27" s="19">
        <v>136</v>
      </c>
    </row>
    <row r="28" spans="1:11" x14ac:dyDescent="0.25">
      <c r="A28" s="18" t="s">
        <v>183</v>
      </c>
      <c r="B28" s="14" t="s">
        <v>183</v>
      </c>
      <c r="C28" s="14" t="s">
        <v>207</v>
      </c>
      <c r="D28" s="14" t="s">
        <v>21</v>
      </c>
      <c r="E28" s="14">
        <v>26</v>
      </c>
      <c r="F28" s="14">
        <v>13</v>
      </c>
      <c r="G28" s="14" t="s">
        <v>260</v>
      </c>
      <c r="H28" s="14" t="s">
        <v>207</v>
      </c>
      <c r="I28" s="14">
        <v>7</v>
      </c>
      <c r="J28" s="14">
        <v>255</v>
      </c>
      <c r="K28" s="14">
        <v>127</v>
      </c>
    </row>
    <row r="29" spans="1:11" x14ac:dyDescent="0.25">
      <c r="A29" s="19" t="s">
        <v>130</v>
      </c>
      <c r="B29" s="19" t="s">
        <v>105</v>
      </c>
      <c r="C29" s="19" t="s">
        <v>79</v>
      </c>
      <c r="D29" s="19" t="s">
        <v>21</v>
      </c>
      <c r="E29" s="19">
        <v>27</v>
      </c>
      <c r="F29" s="19">
        <v>159</v>
      </c>
      <c r="G29" s="19" t="s">
        <v>256</v>
      </c>
      <c r="H29" s="19" t="s">
        <v>281</v>
      </c>
      <c r="I29" s="19">
        <v>18</v>
      </c>
      <c r="J29" s="19">
        <v>255</v>
      </c>
      <c r="K29" s="19">
        <v>127</v>
      </c>
    </row>
    <row r="30" spans="1:11" x14ac:dyDescent="0.25">
      <c r="A30" s="8" t="s">
        <v>112</v>
      </c>
      <c r="B30" s="8" t="s">
        <v>112</v>
      </c>
      <c r="C30" s="8" t="s">
        <v>113</v>
      </c>
      <c r="D30" s="8" t="s">
        <v>1</v>
      </c>
      <c r="E30" s="8">
        <v>28</v>
      </c>
      <c r="F30" s="8">
        <v>82</v>
      </c>
      <c r="G30" s="8" t="s">
        <v>247</v>
      </c>
      <c r="H30" s="8" t="s">
        <v>113</v>
      </c>
      <c r="I30" s="8">
        <v>30</v>
      </c>
      <c r="J30" s="8">
        <v>255</v>
      </c>
      <c r="K30" s="8">
        <v>127</v>
      </c>
    </row>
    <row r="31" spans="1:11" x14ac:dyDescent="0.25">
      <c r="A31" s="7" t="s">
        <v>50</v>
      </c>
      <c r="B31" s="7" t="s">
        <v>18</v>
      </c>
      <c r="C31" s="7" t="s">
        <v>94</v>
      </c>
      <c r="D31" s="7" t="s">
        <v>13</v>
      </c>
      <c r="E31" s="7">
        <v>29</v>
      </c>
      <c r="F31" s="7">
        <v>12</v>
      </c>
      <c r="G31" s="7" t="s">
        <v>249</v>
      </c>
      <c r="H31" s="7" t="s">
        <v>262</v>
      </c>
      <c r="I31" s="7">
        <v>10</v>
      </c>
      <c r="J31" s="7">
        <v>36</v>
      </c>
      <c r="K31" s="7">
        <v>108</v>
      </c>
    </row>
    <row r="32" spans="1:11" x14ac:dyDescent="0.25">
      <c r="A32" s="8" t="s">
        <v>4</v>
      </c>
      <c r="B32" s="8" t="s">
        <v>68</v>
      </c>
      <c r="C32" s="8" t="s">
        <v>174</v>
      </c>
      <c r="D32" s="8" t="s">
        <v>5</v>
      </c>
      <c r="E32" s="8">
        <v>30</v>
      </c>
      <c r="F32" s="8">
        <v>154</v>
      </c>
      <c r="G32" s="8" t="s">
        <v>255</v>
      </c>
      <c r="H32" s="8" t="s">
        <v>174</v>
      </c>
      <c r="I32" s="8">
        <v>0</v>
      </c>
      <c r="J32" s="8">
        <v>22</v>
      </c>
      <c r="K32" s="8">
        <v>102</v>
      </c>
    </row>
    <row r="33" spans="1:11" x14ac:dyDescent="0.25">
      <c r="A33" s="11" t="s">
        <v>125</v>
      </c>
      <c r="B33" s="11" t="s">
        <v>125</v>
      </c>
      <c r="C33" s="11" t="s">
        <v>126</v>
      </c>
      <c r="D33" s="11" t="s">
        <v>13</v>
      </c>
      <c r="E33" s="11">
        <v>31</v>
      </c>
      <c r="F33" s="11">
        <v>111</v>
      </c>
      <c r="G33" s="11" t="s">
        <v>266</v>
      </c>
      <c r="H33" s="11" t="s">
        <v>126</v>
      </c>
      <c r="I33" s="11">
        <v>30</v>
      </c>
      <c r="J33" s="11">
        <v>255</v>
      </c>
      <c r="K33" s="11">
        <v>75</v>
      </c>
    </row>
    <row r="34" spans="1:11" x14ac:dyDescent="0.25">
      <c r="A34" s="8" t="s">
        <v>55</v>
      </c>
      <c r="B34" s="8" t="s">
        <v>55</v>
      </c>
      <c r="C34" s="8" t="s">
        <v>114</v>
      </c>
      <c r="D34" s="8" t="s">
        <v>1</v>
      </c>
      <c r="E34" s="8">
        <v>32</v>
      </c>
      <c r="F34" s="8">
        <v>4</v>
      </c>
      <c r="G34" s="8" t="s">
        <v>260</v>
      </c>
      <c r="H34" s="8" t="s">
        <v>114</v>
      </c>
      <c r="I34" s="8">
        <v>30</v>
      </c>
      <c r="J34" s="8">
        <v>255</v>
      </c>
      <c r="K34" s="8">
        <v>127</v>
      </c>
    </row>
    <row r="35" spans="1:11" x14ac:dyDescent="0.25">
      <c r="A35" s="18" t="s">
        <v>184</v>
      </c>
      <c r="B35" s="14" t="s">
        <v>184</v>
      </c>
      <c r="C35" s="14" t="s">
        <v>206</v>
      </c>
      <c r="D35" s="14" t="s">
        <v>21</v>
      </c>
      <c r="E35" s="14">
        <v>33</v>
      </c>
      <c r="F35" s="14">
        <v>192</v>
      </c>
      <c r="G35" s="14" t="s">
        <v>284</v>
      </c>
      <c r="H35" s="14" t="s">
        <v>285</v>
      </c>
      <c r="I35" s="14">
        <v>7</v>
      </c>
      <c r="J35" s="14">
        <v>255</v>
      </c>
      <c r="K35" s="14">
        <v>126</v>
      </c>
    </row>
    <row r="36" spans="1:11" x14ac:dyDescent="0.25">
      <c r="A36" s="11" t="s">
        <v>57</v>
      </c>
      <c r="B36" s="11" t="s">
        <v>57</v>
      </c>
      <c r="C36" s="11" t="s">
        <v>75</v>
      </c>
      <c r="D36" s="11" t="s">
        <v>13</v>
      </c>
      <c r="E36" s="11">
        <v>34</v>
      </c>
      <c r="F36" s="11">
        <v>17</v>
      </c>
      <c r="G36" s="11" t="s">
        <v>276</v>
      </c>
      <c r="H36" s="11" t="s">
        <v>75</v>
      </c>
      <c r="I36" s="11">
        <v>30</v>
      </c>
      <c r="J36" s="11">
        <v>255</v>
      </c>
      <c r="K36" s="11">
        <v>83</v>
      </c>
    </row>
    <row r="37" spans="1:11" x14ac:dyDescent="0.25">
      <c r="A37" s="36" t="s">
        <v>41</v>
      </c>
      <c r="B37" s="36" t="s">
        <v>41</v>
      </c>
      <c r="C37" s="36" t="s">
        <v>123</v>
      </c>
      <c r="D37" s="36" t="s">
        <v>1</v>
      </c>
      <c r="E37" s="36">
        <v>35</v>
      </c>
      <c r="F37" s="36">
        <v>210</v>
      </c>
      <c r="G37" s="36" t="s">
        <v>297</v>
      </c>
      <c r="H37" s="36" t="s">
        <v>123</v>
      </c>
      <c r="I37" s="36">
        <v>30</v>
      </c>
      <c r="J37" s="36">
        <v>255</v>
      </c>
      <c r="K37" s="36">
        <v>172</v>
      </c>
    </row>
    <row r="38" spans="1:11" x14ac:dyDescent="0.25">
      <c r="A38" s="11" t="s">
        <v>16</v>
      </c>
      <c r="B38" s="11" t="s">
        <v>16</v>
      </c>
      <c r="C38" s="11" t="s">
        <v>93</v>
      </c>
      <c r="D38" s="11" t="s">
        <v>13</v>
      </c>
      <c r="E38" s="11">
        <v>36</v>
      </c>
      <c r="F38" s="11">
        <v>56</v>
      </c>
      <c r="G38" s="11" t="s">
        <v>265</v>
      </c>
      <c r="H38" s="11" t="s">
        <v>269</v>
      </c>
      <c r="I38" s="11">
        <v>30</v>
      </c>
      <c r="J38" s="11">
        <v>255</v>
      </c>
      <c r="K38" s="11">
        <v>83</v>
      </c>
    </row>
    <row r="39" spans="1:11" x14ac:dyDescent="0.25">
      <c r="A39" s="8" t="s">
        <v>7</v>
      </c>
      <c r="B39" s="8" t="s">
        <v>7</v>
      </c>
      <c r="C39" s="8" t="s">
        <v>70</v>
      </c>
      <c r="D39" s="8" t="s">
        <v>5</v>
      </c>
      <c r="E39" s="8">
        <v>37</v>
      </c>
      <c r="F39" s="8">
        <v>173</v>
      </c>
      <c r="G39" s="8" t="s">
        <v>275</v>
      </c>
      <c r="H39" s="8" t="s">
        <v>70</v>
      </c>
      <c r="I39" s="8">
        <v>0</v>
      </c>
      <c r="J39" s="8">
        <v>22</v>
      </c>
      <c r="K39" s="8">
        <v>102</v>
      </c>
    </row>
    <row r="40" spans="1:11" x14ac:dyDescent="0.25">
      <c r="A40" s="12" t="s">
        <v>213</v>
      </c>
      <c r="B40" s="11" t="s">
        <v>209</v>
      </c>
      <c r="C40" s="11" t="s">
        <v>208</v>
      </c>
      <c r="D40" s="11" t="s">
        <v>13</v>
      </c>
      <c r="E40" s="11">
        <v>38</v>
      </c>
      <c r="F40" s="11">
        <v>135</v>
      </c>
      <c r="G40" s="11" t="s">
        <v>277</v>
      </c>
      <c r="H40" s="11" t="s">
        <v>278</v>
      </c>
      <c r="I40" s="11">
        <v>30</v>
      </c>
      <c r="J40" s="11">
        <v>255</v>
      </c>
      <c r="K40" s="11">
        <v>83</v>
      </c>
    </row>
    <row r="41" spans="1:11" x14ac:dyDescent="0.25">
      <c r="A41" s="11" t="s">
        <v>32</v>
      </c>
      <c r="B41" s="11" t="s">
        <v>32</v>
      </c>
      <c r="C41" s="11" t="s">
        <v>74</v>
      </c>
      <c r="D41" s="11" t="s">
        <v>13</v>
      </c>
      <c r="E41" s="11">
        <v>39</v>
      </c>
      <c r="F41" s="11">
        <v>116</v>
      </c>
      <c r="G41" s="11" t="s">
        <v>266</v>
      </c>
      <c r="H41" s="11" t="s">
        <v>74</v>
      </c>
      <c r="I41" s="11">
        <v>0</v>
      </c>
      <c r="J41" s="11">
        <v>255</v>
      </c>
      <c r="K41" s="11">
        <v>83</v>
      </c>
    </row>
    <row r="42" spans="1:11" x14ac:dyDescent="0.25">
      <c r="A42" s="10" t="s">
        <v>217</v>
      </c>
      <c r="B42" s="10"/>
      <c r="C42" s="10" t="s">
        <v>214</v>
      </c>
      <c r="D42" s="10" t="s">
        <v>21</v>
      </c>
      <c r="E42" s="10">
        <v>40</v>
      </c>
      <c r="F42" s="10">
        <v>88</v>
      </c>
      <c r="G42" s="10" t="s">
        <v>247</v>
      </c>
      <c r="H42" s="10" t="s">
        <v>214</v>
      </c>
      <c r="I42" s="2">
        <v>30</v>
      </c>
      <c r="J42" s="2">
        <v>255</v>
      </c>
      <c r="K42" s="2">
        <v>83</v>
      </c>
    </row>
    <row r="43" spans="1:11" x14ac:dyDescent="0.25">
      <c r="A43" s="36" t="s">
        <v>37</v>
      </c>
      <c r="B43" s="36" t="s">
        <v>37</v>
      </c>
      <c r="C43" s="36" t="s">
        <v>85</v>
      </c>
      <c r="D43" s="36" t="s">
        <v>0</v>
      </c>
      <c r="E43" s="36">
        <v>41</v>
      </c>
      <c r="F43" s="36">
        <v>40</v>
      </c>
      <c r="G43" s="36" t="s">
        <v>254</v>
      </c>
      <c r="H43" s="36" t="s">
        <v>85</v>
      </c>
      <c r="I43" s="36">
        <v>30</v>
      </c>
      <c r="J43" s="36">
        <v>128</v>
      </c>
      <c r="K43" s="36">
        <v>185</v>
      </c>
    </row>
    <row r="44" spans="1:11" x14ac:dyDescent="0.25">
      <c r="A44" s="34" t="s">
        <v>215</v>
      </c>
      <c r="B44" s="34" t="s">
        <v>211</v>
      </c>
      <c r="C44" s="34" t="s">
        <v>216</v>
      </c>
      <c r="D44" s="34" t="s">
        <v>0</v>
      </c>
      <c r="E44" s="34">
        <v>42</v>
      </c>
      <c r="F44" s="34">
        <v>45</v>
      </c>
      <c r="G44" s="34" t="s">
        <v>289</v>
      </c>
      <c r="H44" s="34" t="s">
        <v>293</v>
      </c>
      <c r="I44" s="34">
        <v>5</v>
      </c>
      <c r="J44" s="34">
        <v>24</v>
      </c>
      <c r="K44" s="34">
        <v>149</v>
      </c>
    </row>
    <row r="45" spans="1:11" x14ac:dyDescent="0.25">
      <c r="A45" s="2" t="s">
        <v>128</v>
      </c>
      <c r="B45" s="2" t="s">
        <v>30</v>
      </c>
      <c r="C45" s="2" t="s">
        <v>81</v>
      </c>
      <c r="D45" s="2" t="s">
        <v>21</v>
      </c>
      <c r="E45" s="2">
        <v>43</v>
      </c>
      <c r="F45" s="2">
        <v>151</v>
      </c>
      <c r="G45" s="2" t="s">
        <v>255</v>
      </c>
      <c r="H45" s="2" t="s">
        <v>81</v>
      </c>
      <c r="I45" s="2">
        <v>30</v>
      </c>
      <c r="J45" s="2">
        <v>42</v>
      </c>
      <c r="K45" s="2">
        <v>150</v>
      </c>
    </row>
    <row r="46" spans="1:11" x14ac:dyDescent="0.25">
      <c r="A46" s="24" t="s">
        <v>169</v>
      </c>
      <c r="B46" s="24"/>
      <c r="C46" s="24" t="s">
        <v>176</v>
      </c>
      <c r="D46" s="24" t="s">
        <v>21</v>
      </c>
      <c r="E46" s="24">
        <v>44</v>
      </c>
      <c r="F46" s="24">
        <v>5</v>
      </c>
      <c r="G46" s="24" t="s">
        <v>249</v>
      </c>
      <c r="H46" s="24" t="s">
        <v>288</v>
      </c>
      <c r="I46" s="24">
        <v>30</v>
      </c>
      <c r="J46" s="24">
        <v>255</v>
      </c>
      <c r="K46" s="24">
        <v>74</v>
      </c>
    </row>
    <row r="47" spans="1:11" x14ac:dyDescent="0.25">
      <c r="A47" s="24" t="s">
        <v>171</v>
      </c>
      <c r="B47" s="24"/>
      <c r="C47" s="24" t="s">
        <v>177</v>
      </c>
      <c r="D47" s="24" t="s">
        <v>21</v>
      </c>
      <c r="E47" s="24">
        <v>45</v>
      </c>
      <c r="F47" s="24">
        <v>102</v>
      </c>
      <c r="G47" s="24" t="s">
        <v>283</v>
      </c>
      <c r="H47" s="24" t="s">
        <v>177</v>
      </c>
      <c r="I47" s="24">
        <v>4</v>
      </c>
      <c r="J47" s="23">
        <v>40</v>
      </c>
      <c r="K47" s="23">
        <v>116</v>
      </c>
    </row>
    <row r="48" spans="1:11" x14ac:dyDescent="0.25">
      <c r="A48" s="24" t="s">
        <v>170</v>
      </c>
      <c r="B48" s="24"/>
      <c r="C48" s="24" t="s">
        <v>178</v>
      </c>
      <c r="D48" s="24" t="s">
        <v>21</v>
      </c>
      <c r="E48" s="24">
        <v>46</v>
      </c>
      <c r="F48" s="24">
        <v>93</v>
      </c>
      <c r="G48" s="24" t="s">
        <v>247</v>
      </c>
      <c r="H48" s="24" t="s">
        <v>178</v>
      </c>
      <c r="I48" s="24">
        <v>4</v>
      </c>
      <c r="J48" s="23">
        <v>40</v>
      </c>
      <c r="K48" s="23">
        <v>116</v>
      </c>
    </row>
    <row r="49" spans="1:11" x14ac:dyDescent="0.25">
      <c r="A49" s="24" t="s">
        <v>172</v>
      </c>
      <c r="B49" s="24"/>
      <c r="C49" s="24" t="s">
        <v>179</v>
      </c>
      <c r="D49" s="24" t="s">
        <v>21</v>
      </c>
      <c r="E49" s="24">
        <v>47</v>
      </c>
      <c r="F49" s="24">
        <v>14</v>
      </c>
      <c r="G49" s="24" t="s">
        <v>257</v>
      </c>
      <c r="H49" s="24" t="s">
        <v>179</v>
      </c>
      <c r="I49" s="24">
        <v>30</v>
      </c>
      <c r="J49" s="23">
        <v>255</v>
      </c>
      <c r="K49" s="23">
        <v>127</v>
      </c>
    </row>
    <row r="50" spans="1:11" x14ac:dyDescent="0.25">
      <c r="A50" s="39" t="s">
        <v>38</v>
      </c>
      <c r="B50" s="39" t="s">
        <v>110</v>
      </c>
      <c r="C50" s="39" t="s">
        <v>83</v>
      </c>
      <c r="D50" s="39" t="s">
        <v>0</v>
      </c>
      <c r="E50" s="39">
        <v>48</v>
      </c>
      <c r="F50" s="39">
        <v>47</v>
      </c>
      <c r="G50" s="39" t="s">
        <v>296</v>
      </c>
      <c r="H50" s="39" t="s">
        <v>83</v>
      </c>
      <c r="I50" s="39">
        <v>8</v>
      </c>
      <c r="J50" s="39">
        <v>90</v>
      </c>
      <c r="K50" s="39">
        <v>105</v>
      </c>
    </row>
    <row r="51" spans="1:11" x14ac:dyDescent="0.25">
      <c r="A51" s="34" t="s">
        <v>180</v>
      </c>
      <c r="B51" s="34" t="s">
        <v>210</v>
      </c>
      <c r="C51" s="34" t="s">
        <v>181</v>
      </c>
      <c r="D51" s="34" t="s">
        <v>0</v>
      </c>
      <c r="E51" s="34">
        <v>49</v>
      </c>
      <c r="F51" s="34">
        <v>206</v>
      </c>
      <c r="G51" s="34" t="s">
        <v>247</v>
      </c>
      <c r="H51" s="34" t="s">
        <v>216</v>
      </c>
      <c r="I51" s="34">
        <v>5</v>
      </c>
      <c r="J51" s="34">
        <v>24</v>
      </c>
      <c r="K51" s="34">
        <v>149</v>
      </c>
    </row>
    <row r="52" spans="1:11" x14ac:dyDescent="0.25">
      <c r="A52" s="28" t="s">
        <v>23</v>
      </c>
      <c r="B52" s="28" t="s">
        <v>65</v>
      </c>
      <c r="C52" s="28" t="s">
        <v>82</v>
      </c>
      <c r="D52" s="28" t="s">
        <v>21</v>
      </c>
      <c r="E52" s="28">
        <v>50</v>
      </c>
      <c r="F52" s="28">
        <v>54</v>
      </c>
      <c r="G52" s="28" t="s">
        <v>266</v>
      </c>
      <c r="H52" s="28" t="s">
        <v>82</v>
      </c>
      <c r="I52" s="28">
        <v>20</v>
      </c>
      <c r="J52" s="28">
        <v>36</v>
      </c>
      <c r="K52" s="28">
        <v>128</v>
      </c>
    </row>
    <row r="53" spans="1:11" x14ac:dyDescent="0.25">
      <c r="A53" s="33" t="s">
        <v>56</v>
      </c>
      <c r="B53" s="33" t="s">
        <v>56</v>
      </c>
      <c r="C53" s="33" t="s">
        <v>124</v>
      </c>
      <c r="D53" s="33" t="s">
        <v>1</v>
      </c>
      <c r="E53" s="33">
        <v>51</v>
      </c>
      <c r="F53" s="33">
        <v>207</v>
      </c>
      <c r="G53" s="33" t="s">
        <v>247</v>
      </c>
      <c r="H53" s="33" t="s">
        <v>292</v>
      </c>
      <c r="I53" s="33">
        <v>6</v>
      </c>
      <c r="J53" s="33">
        <v>42</v>
      </c>
      <c r="K53" s="33">
        <v>191</v>
      </c>
    </row>
    <row r="54" spans="1:11" x14ac:dyDescent="0.25">
      <c r="A54" s="19" t="s">
        <v>127</v>
      </c>
      <c r="B54" s="19"/>
      <c r="C54" s="19" t="s">
        <v>78</v>
      </c>
      <c r="D54" s="19" t="s">
        <v>21</v>
      </c>
      <c r="E54" s="19">
        <v>52</v>
      </c>
      <c r="F54" s="19">
        <v>208</v>
      </c>
      <c r="G54" s="19" t="s">
        <v>283</v>
      </c>
      <c r="H54" s="19" t="s">
        <v>78</v>
      </c>
      <c r="I54" s="19">
        <v>20</v>
      </c>
      <c r="J54" s="19">
        <v>40</v>
      </c>
      <c r="K54" s="19">
        <v>120</v>
      </c>
    </row>
    <row r="55" spans="1:11" x14ac:dyDescent="0.25">
      <c r="A55" s="19" t="s">
        <v>24</v>
      </c>
      <c r="B55" s="19" t="s">
        <v>103</v>
      </c>
      <c r="C55" s="19" t="s">
        <v>104</v>
      </c>
      <c r="D55" s="19" t="s">
        <v>21</v>
      </c>
      <c r="E55" s="19">
        <v>53</v>
      </c>
      <c r="F55" s="19">
        <v>184</v>
      </c>
      <c r="G55" s="19" t="s">
        <v>254</v>
      </c>
      <c r="H55" s="19" t="s">
        <v>280</v>
      </c>
      <c r="I55" s="19">
        <v>20</v>
      </c>
      <c r="J55" s="19">
        <v>40</v>
      </c>
      <c r="K55" s="19">
        <v>120</v>
      </c>
    </row>
    <row r="56" spans="1:11" x14ac:dyDescent="0.25">
      <c r="A56" s="28" t="s">
        <v>58</v>
      </c>
      <c r="B56" s="28" t="s">
        <v>109</v>
      </c>
      <c r="C56" s="28" t="s">
        <v>111</v>
      </c>
      <c r="D56" s="28" t="s">
        <v>21</v>
      </c>
      <c r="E56" s="28">
        <v>54</v>
      </c>
      <c r="F56" s="28">
        <v>209</v>
      </c>
      <c r="G56" s="28" t="s">
        <v>247</v>
      </c>
      <c r="H56" s="28" t="s">
        <v>290</v>
      </c>
      <c r="I56" s="28">
        <v>30</v>
      </c>
      <c r="J56" s="28">
        <v>255</v>
      </c>
      <c r="K56" s="28">
        <v>150</v>
      </c>
    </row>
    <row r="57" spans="1:11" s="4" customFormat="1" x14ac:dyDescent="0.25">
      <c r="A57" s="42" t="s">
        <v>66</v>
      </c>
      <c r="B57" s="42" t="s">
        <v>66</v>
      </c>
      <c r="C57" s="42" t="s">
        <v>118</v>
      </c>
      <c r="D57" s="42" t="s">
        <v>0</v>
      </c>
      <c r="E57" s="42">
        <v>55</v>
      </c>
      <c r="F57" s="42">
        <v>139</v>
      </c>
      <c r="G57" s="42" t="s">
        <v>294</v>
      </c>
      <c r="H57" s="42" t="s">
        <v>300</v>
      </c>
      <c r="I57" s="42">
        <v>4</v>
      </c>
      <c r="J57" s="42">
        <v>40</v>
      </c>
      <c r="K57" s="42">
        <v>103</v>
      </c>
    </row>
    <row r="58" spans="1:11" x14ac:dyDescent="0.25">
      <c r="A58" s="42" t="s">
        <v>47</v>
      </c>
      <c r="B58" s="42" t="s">
        <v>47</v>
      </c>
      <c r="C58" s="42" t="s">
        <v>121</v>
      </c>
      <c r="D58" s="42" t="s">
        <v>0</v>
      </c>
      <c r="E58" s="42">
        <v>56</v>
      </c>
      <c r="F58" s="42">
        <v>205</v>
      </c>
      <c r="G58" s="42" t="s">
        <v>256</v>
      </c>
      <c r="H58" s="42" t="s">
        <v>301</v>
      </c>
      <c r="I58" s="42">
        <v>6</v>
      </c>
      <c r="J58" s="42">
        <v>36</v>
      </c>
      <c r="K58" s="42">
        <v>128</v>
      </c>
    </row>
    <row r="59" spans="1:11" s="4" customFormat="1" x14ac:dyDescent="0.25">
      <c r="A59" s="42" t="s">
        <v>48</v>
      </c>
      <c r="B59" s="42" t="s">
        <v>48</v>
      </c>
      <c r="C59" s="42" t="s">
        <v>122</v>
      </c>
      <c r="D59" s="42" t="s">
        <v>0</v>
      </c>
      <c r="E59" s="42">
        <v>57</v>
      </c>
      <c r="F59" s="42">
        <v>69</v>
      </c>
      <c r="G59" s="42" t="s">
        <v>302</v>
      </c>
      <c r="H59" s="42" t="s">
        <v>303</v>
      </c>
      <c r="I59" s="42">
        <v>4</v>
      </c>
      <c r="J59" s="42">
        <v>40</v>
      </c>
      <c r="K59" s="42">
        <v>103</v>
      </c>
    </row>
    <row r="60" spans="1:11" x14ac:dyDescent="0.25">
      <c r="A60" s="14" t="s">
        <v>237</v>
      </c>
      <c r="B60" s="14"/>
      <c r="C60" s="14" t="s">
        <v>238</v>
      </c>
      <c r="D60" s="14" t="s">
        <v>21</v>
      </c>
      <c r="E60" s="14">
        <v>58</v>
      </c>
      <c r="F60" s="14">
        <v>196</v>
      </c>
      <c r="G60" s="14" t="s">
        <v>286</v>
      </c>
      <c r="H60" s="14" t="s">
        <v>238</v>
      </c>
      <c r="I60" s="14">
        <v>12</v>
      </c>
      <c r="J60" s="14">
        <v>255</v>
      </c>
      <c r="K60" s="14">
        <v>136</v>
      </c>
    </row>
    <row r="61" spans="1:11" x14ac:dyDescent="0.25">
      <c r="A61" s="12" t="s">
        <v>261</v>
      </c>
      <c r="B61" s="12" t="s">
        <v>261</v>
      </c>
      <c r="C61" s="12" t="s">
        <v>274</v>
      </c>
      <c r="D61" s="12" t="s">
        <v>13</v>
      </c>
      <c r="E61" s="12">
        <v>59</v>
      </c>
      <c r="F61" s="12">
        <v>114</v>
      </c>
      <c r="G61" s="12" t="s">
        <v>266</v>
      </c>
      <c r="H61" s="12" t="s">
        <v>274</v>
      </c>
      <c r="I61" s="12">
        <v>30</v>
      </c>
      <c r="J61" s="12">
        <v>255</v>
      </c>
      <c r="K61" s="12">
        <v>73</v>
      </c>
    </row>
    <row r="62" spans="1:11" x14ac:dyDescent="0.25">
      <c r="A62" s="12" t="s">
        <v>403</v>
      </c>
      <c r="B62" s="12"/>
      <c r="C62" s="12"/>
      <c r="D62" s="12"/>
      <c r="E62" s="12">
        <v>60</v>
      </c>
      <c r="F62" s="12"/>
      <c r="G62" s="12"/>
      <c r="H62" s="12"/>
      <c r="I62" s="12"/>
      <c r="J62" s="12"/>
      <c r="K62" s="12"/>
    </row>
    <row r="63" spans="1:11" x14ac:dyDescent="0.25">
      <c r="E63">
        <v>61</v>
      </c>
    </row>
    <row r="64" spans="1:11" x14ac:dyDescent="0.25">
      <c r="E64">
        <v>62</v>
      </c>
    </row>
    <row r="65" spans="5:5" x14ac:dyDescent="0.25">
      <c r="E65">
        <v>63</v>
      </c>
    </row>
  </sheetData>
  <autoFilter ref="A1:K66" xr:uid="{FAA0CDE2-2631-4BE3-B6BA-6E4C4BEE10B5}">
    <sortState xmlns:xlrd2="http://schemas.microsoft.com/office/spreadsheetml/2017/richdata2" ref="A2:K66">
      <sortCondition ref="E1:E66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AE417-8580-4C00-8D2D-89742484FBEB}">
  <dimension ref="A1:G129"/>
  <sheetViews>
    <sheetView topLeftCell="A57" workbookViewId="0">
      <selection activeCell="B47" sqref="B47"/>
    </sheetView>
  </sheetViews>
  <sheetFormatPr defaultRowHeight="15" x14ac:dyDescent="0.25"/>
  <cols>
    <col min="1" max="1" width="9.140625" style="3"/>
    <col min="2" max="2" width="21.42578125" style="3" bestFit="1" customWidth="1"/>
    <col min="3" max="3" width="34" customWidth="1"/>
    <col min="4" max="4" width="18.5703125" customWidth="1"/>
    <col min="5" max="5" width="25.7109375" customWidth="1"/>
  </cols>
  <sheetData>
    <row r="1" spans="1:7" x14ac:dyDescent="0.25">
      <c r="A1" s="3" t="s">
        <v>138</v>
      </c>
      <c r="C1" s="1" t="s">
        <v>136</v>
      </c>
      <c r="D1" s="1"/>
      <c r="E1" t="s">
        <v>137</v>
      </c>
      <c r="F1" t="s">
        <v>246</v>
      </c>
      <c r="G1" t="s">
        <v>139</v>
      </c>
    </row>
    <row r="2" spans="1:7" x14ac:dyDescent="0.25">
      <c r="A2" s="3" t="s">
        <v>527</v>
      </c>
      <c r="D2" s="1"/>
      <c r="E2" t="s">
        <v>528</v>
      </c>
    </row>
    <row r="3" spans="1:7" x14ac:dyDescent="0.25">
      <c r="A3" s="92" t="s">
        <v>152</v>
      </c>
      <c r="B3" s="92" t="s">
        <v>529</v>
      </c>
      <c r="C3" s="4"/>
      <c r="D3" s="4"/>
      <c r="E3" s="4" t="s">
        <v>229</v>
      </c>
      <c r="F3" s="4">
        <v>152</v>
      </c>
      <c r="G3" s="4"/>
    </row>
    <row r="4" spans="1:7" x14ac:dyDescent="0.25">
      <c r="A4" s="3" t="s">
        <v>268</v>
      </c>
      <c r="B4" s="3" t="s">
        <v>530</v>
      </c>
      <c r="E4" s="4" t="s">
        <v>229</v>
      </c>
      <c r="F4">
        <v>152</v>
      </c>
    </row>
    <row r="5" spans="1:7" x14ac:dyDescent="0.25">
      <c r="A5" s="3" t="s">
        <v>149</v>
      </c>
      <c r="B5" s="3" t="s">
        <v>531</v>
      </c>
      <c r="E5" s="4" t="s">
        <v>229</v>
      </c>
      <c r="F5">
        <v>99</v>
      </c>
    </row>
    <row r="6" spans="1:7" x14ac:dyDescent="0.25">
      <c r="A6" s="3" t="s">
        <v>153</v>
      </c>
      <c r="B6" s="3" t="s">
        <v>532</v>
      </c>
      <c r="E6" s="4" t="s">
        <v>229</v>
      </c>
      <c r="F6">
        <v>99</v>
      </c>
    </row>
    <row r="7" spans="1:7" x14ac:dyDescent="0.25">
      <c r="A7" s="3" t="s">
        <v>142</v>
      </c>
      <c r="B7" s="3" t="s">
        <v>533</v>
      </c>
      <c r="E7" s="4" t="s">
        <v>229</v>
      </c>
      <c r="F7">
        <v>6</v>
      </c>
    </row>
    <row r="8" spans="1:7" x14ac:dyDescent="0.25">
      <c r="A8" s="3" t="s">
        <v>143</v>
      </c>
      <c r="B8" s="3" t="s">
        <v>534</v>
      </c>
      <c r="E8" s="4" t="s">
        <v>229</v>
      </c>
      <c r="F8">
        <v>6</v>
      </c>
    </row>
    <row r="9" spans="1:7" x14ac:dyDescent="0.25">
      <c r="A9" s="3" t="s">
        <v>155</v>
      </c>
      <c r="B9" s="3" t="s">
        <v>535</v>
      </c>
      <c r="E9" s="4" t="s">
        <v>229</v>
      </c>
      <c r="F9">
        <v>116</v>
      </c>
    </row>
    <row r="10" spans="1:7" x14ac:dyDescent="0.25">
      <c r="A10" s="3" t="s">
        <v>144</v>
      </c>
      <c r="B10" s="92" t="s">
        <v>536</v>
      </c>
      <c r="C10" s="4"/>
      <c r="E10" s="4" t="s">
        <v>229</v>
      </c>
      <c r="F10">
        <v>107</v>
      </c>
    </row>
    <row r="11" spans="1:7" x14ac:dyDescent="0.25">
      <c r="A11" s="3" t="s">
        <v>156</v>
      </c>
      <c r="B11" s="3" t="s">
        <v>537</v>
      </c>
      <c r="E11" s="4" t="s">
        <v>229</v>
      </c>
      <c r="F11">
        <v>85</v>
      </c>
    </row>
    <row r="12" spans="1:7" x14ac:dyDescent="0.25">
      <c r="A12" s="3" t="s">
        <v>157</v>
      </c>
      <c r="B12" s="3" t="s">
        <v>538</v>
      </c>
      <c r="E12" s="4" t="s">
        <v>229</v>
      </c>
    </row>
    <row r="13" spans="1:7" x14ac:dyDescent="0.25">
      <c r="A13" s="3" t="s">
        <v>159</v>
      </c>
      <c r="E13" s="4" t="s">
        <v>229</v>
      </c>
    </row>
    <row r="14" spans="1:7" x14ac:dyDescent="0.25">
      <c r="A14" s="3" t="s">
        <v>160</v>
      </c>
      <c r="E14" s="4" t="s">
        <v>229</v>
      </c>
    </row>
    <row r="15" spans="1:7" x14ac:dyDescent="0.25">
      <c r="A15" s="3" t="s">
        <v>161</v>
      </c>
      <c r="E15" s="4" t="s">
        <v>229</v>
      </c>
    </row>
    <row r="16" spans="1:7" x14ac:dyDescent="0.25">
      <c r="A16" s="3" t="s">
        <v>162</v>
      </c>
      <c r="E16" s="4" t="s">
        <v>229</v>
      </c>
    </row>
    <row r="17" spans="1:5" x14ac:dyDescent="0.25">
      <c r="A17" s="3" t="s">
        <v>163</v>
      </c>
      <c r="E17" s="4" t="s">
        <v>229</v>
      </c>
    </row>
    <row r="18" spans="1:5" x14ac:dyDescent="0.25">
      <c r="A18" s="3" t="s">
        <v>165</v>
      </c>
      <c r="E18" s="4" t="s">
        <v>229</v>
      </c>
    </row>
    <row r="19" spans="1:5" x14ac:dyDescent="0.25">
      <c r="A19" s="3" t="s">
        <v>166</v>
      </c>
      <c r="E19" s="4" t="s">
        <v>229</v>
      </c>
    </row>
    <row r="20" spans="1:5" x14ac:dyDescent="0.25">
      <c r="A20" s="3" t="s">
        <v>218</v>
      </c>
      <c r="E20" s="4" t="s">
        <v>229</v>
      </c>
    </row>
    <row r="21" spans="1:5" x14ac:dyDescent="0.25">
      <c r="A21" s="3" t="s">
        <v>219</v>
      </c>
      <c r="E21" s="4" t="s">
        <v>229</v>
      </c>
    </row>
    <row r="22" spans="1:5" x14ac:dyDescent="0.25">
      <c r="A22" s="3" t="s">
        <v>222</v>
      </c>
      <c r="E22" s="4" t="s">
        <v>229</v>
      </c>
    </row>
    <row r="23" spans="1:5" x14ac:dyDescent="0.25">
      <c r="A23" s="3" t="s">
        <v>228</v>
      </c>
      <c r="E23" s="4" t="s">
        <v>229</v>
      </c>
    </row>
    <row r="24" spans="1:5" x14ac:dyDescent="0.25">
      <c r="A24" s="3" t="s">
        <v>405</v>
      </c>
      <c r="E24" s="4" t="s">
        <v>229</v>
      </c>
    </row>
    <row r="25" spans="1:5" x14ac:dyDescent="0.25">
      <c r="A25" s="3" t="s">
        <v>406</v>
      </c>
      <c r="E25" s="4" t="s">
        <v>229</v>
      </c>
    </row>
    <row r="26" spans="1:5" x14ac:dyDescent="0.25">
      <c r="A26" s="3" t="s">
        <v>407</v>
      </c>
      <c r="E26" s="4" t="s">
        <v>229</v>
      </c>
    </row>
    <row r="27" spans="1:5" x14ac:dyDescent="0.25">
      <c r="A27" s="3" t="s">
        <v>408</v>
      </c>
      <c r="E27" s="4" t="s">
        <v>229</v>
      </c>
    </row>
    <row r="28" spans="1:5" x14ac:dyDescent="0.25">
      <c r="A28" s="3" t="s">
        <v>409</v>
      </c>
      <c r="E28" s="4" t="s">
        <v>229</v>
      </c>
    </row>
    <row r="29" spans="1:5" x14ac:dyDescent="0.25">
      <c r="A29" s="3" t="s">
        <v>410</v>
      </c>
      <c r="E29" s="4" t="s">
        <v>229</v>
      </c>
    </row>
    <row r="30" spans="1:5" x14ac:dyDescent="0.25">
      <c r="A30" s="3" t="s">
        <v>411</v>
      </c>
      <c r="E30" s="4" t="s">
        <v>229</v>
      </c>
    </row>
    <row r="31" spans="1:5" x14ac:dyDescent="0.25">
      <c r="A31" s="3" t="s">
        <v>412</v>
      </c>
      <c r="E31" s="4" t="s">
        <v>229</v>
      </c>
    </row>
    <row r="32" spans="1:5" x14ac:dyDescent="0.25">
      <c r="A32" s="3" t="s">
        <v>413</v>
      </c>
      <c r="E32" s="4" t="s">
        <v>229</v>
      </c>
    </row>
    <row r="33" spans="1:5" x14ac:dyDescent="0.25">
      <c r="A33" s="3" t="s">
        <v>414</v>
      </c>
      <c r="E33" s="4" t="s">
        <v>229</v>
      </c>
    </row>
    <row r="34" spans="1:5" x14ac:dyDescent="0.25">
      <c r="A34" s="3" t="s">
        <v>415</v>
      </c>
      <c r="E34" s="4" t="s">
        <v>229</v>
      </c>
    </row>
    <row r="35" spans="1:5" x14ac:dyDescent="0.25">
      <c r="A35" s="3" t="s">
        <v>416</v>
      </c>
      <c r="E35" s="4" t="s">
        <v>229</v>
      </c>
    </row>
    <row r="36" spans="1:5" x14ac:dyDescent="0.25">
      <c r="A36" s="3" t="s">
        <v>417</v>
      </c>
      <c r="E36" s="4" t="s">
        <v>229</v>
      </c>
    </row>
    <row r="37" spans="1:5" x14ac:dyDescent="0.25">
      <c r="A37" s="3" t="s">
        <v>418</v>
      </c>
      <c r="E37" s="4" t="s">
        <v>229</v>
      </c>
    </row>
    <row r="38" spans="1:5" x14ac:dyDescent="0.25">
      <c r="A38" s="3" t="s">
        <v>419</v>
      </c>
      <c r="E38" s="4" t="s">
        <v>229</v>
      </c>
    </row>
    <row r="39" spans="1:5" x14ac:dyDescent="0.25">
      <c r="A39" s="3" t="s">
        <v>420</v>
      </c>
      <c r="B39" s="3" t="s">
        <v>550</v>
      </c>
      <c r="E39" s="4" t="s">
        <v>230</v>
      </c>
    </row>
    <row r="40" spans="1:5" x14ac:dyDescent="0.25">
      <c r="A40" s="3" t="s">
        <v>421</v>
      </c>
      <c r="B40" s="3" t="s">
        <v>551</v>
      </c>
      <c r="E40" s="4" t="s">
        <v>230</v>
      </c>
    </row>
    <row r="41" spans="1:5" x14ac:dyDescent="0.25">
      <c r="A41" s="3" t="s">
        <v>422</v>
      </c>
      <c r="B41" s="3" t="s">
        <v>552</v>
      </c>
      <c r="E41" s="4" t="s">
        <v>230</v>
      </c>
    </row>
    <row r="42" spans="1:5" x14ac:dyDescent="0.25">
      <c r="A42" s="3" t="s">
        <v>423</v>
      </c>
      <c r="B42" s="3" t="s">
        <v>553</v>
      </c>
      <c r="E42" s="4" t="s">
        <v>230</v>
      </c>
    </row>
    <row r="43" spans="1:5" x14ac:dyDescent="0.25">
      <c r="A43" s="3" t="s">
        <v>424</v>
      </c>
      <c r="B43" s="3" t="s">
        <v>554</v>
      </c>
      <c r="E43" s="4" t="s">
        <v>230</v>
      </c>
    </row>
    <row r="44" spans="1:5" x14ac:dyDescent="0.25">
      <c r="A44" s="3" t="s">
        <v>425</v>
      </c>
      <c r="B44" s="3" t="s">
        <v>555</v>
      </c>
      <c r="E44" s="4" t="s">
        <v>230</v>
      </c>
    </row>
    <row r="45" spans="1:5" x14ac:dyDescent="0.25">
      <c r="A45" s="3" t="s">
        <v>426</v>
      </c>
      <c r="B45" s="3" t="s">
        <v>556</v>
      </c>
      <c r="E45" s="4" t="s">
        <v>230</v>
      </c>
    </row>
    <row r="46" spans="1:5" x14ac:dyDescent="0.25">
      <c r="A46" s="3" t="s">
        <v>427</v>
      </c>
      <c r="B46" s="3" t="s">
        <v>557</v>
      </c>
      <c r="E46" s="4" t="s">
        <v>230</v>
      </c>
    </row>
    <row r="47" spans="1:5" x14ac:dyDescent="0.25">
      <c r="A47" s="3" t="s">
        <v>428</v>
      </c>
      <c r="E47" s="4" t="s">
        <v>230</v>
      </c>
    </row>
    <row r="48" spans="1:5" x14ac:dyDescent="0.25">
      <c r="A48" s="3" t="s">
        <v>429</v>
      </c>
      <c r="E48" s="4" t="s">
        <v>230</v>
      </c>
    </row>
    <row r="49" spans="1:5" x14ac:dyDescent="0.25">
      <c r="A49" s="3" t="s">
        <v>430</v>
      </c>
      <c r="E49" s="4" t="s">
        <v>230</v>
      </c>
    </row>
    <row r="50" spans="1:5" x14ac:dyDescent="0.25">
      <c r="A50" s="3" t="s">
        <v>431</v>
      </c>
      <c r="E50" s="4" t="s">
        <v>230</v>
      </c>
    </row>
    <row r="51" spans="1:5" x14ac:dyDescent="0.25">
      <c r="A51" s="3" t="s">
        <v>432</v>
      </c>
      <c r="E51" s="4" t="s">
        <v>230</v>
      </c>
    </row>
    <row r="52" spans="1:5" x14ac:dyDescent="0.25">
      <c r="A52" s="3" t="s">
        <v>433</v>
      </c>
      <c r="E52" s="4" t="s">
        <v>230</v>
      </c>
    </row>
    <row r="53" spans="1:5" x14ac:dyDescent="0.25">
      <c r="A53" s="3" t="s">
        <v>434</v>
      </c>
      <c r="E53" s="4" t="s">
        <v>230</v>
      </c>
    </row>
    <row r="54" spans="1:5" x14ac:dyDescent="0.25">
      <c r="A54" s="3" t="s">
        <v>435</v>
      </c>
      <c r="E54" s="4" t="s">
        <v>230</v>
      </c>
    </row>
    <row r="55" spans="1:5" x14ac:dyDescent="0.25">
      <c r="A55" s="3" t="s">
        <v>436</v>
      </c>
      <c r="E55" s="4" t="s">
        <v>230</v>
      </c>
    </row>
    <row r="56" spans="1:5" x14ac:dyDescent="0.25">
      <c r="A56" s="3" t="s">
        <v>437</v>
      </c>
      <c r="E56" s="4" t="s">
        <v>230</v>
      </c>
    </row>
    <row r="57" spans="1:5" x14ac:dyDescent="0.25">
      <c r="A57" s="3" t="s">
        <v>438</v>
      </c>
      <c r="E57" s="4" t="s">
        <v>230</v>
      </c>
    </row>
    <row r="58" spans="1:5" x14ac:dyDescent="0.25">
      <c r="A58" s="3" t="s">
        <v>439</v>
      </c>
      <c r="E58" s="4" t="s">
        <v>230</v>
      </c>
    </row>
    <row r="59" spans="1:5" x14ac:dyDescent="0.25">
      <c r="A59" s="3" t="s">
        <v>440</v>
      </c>
      <c r="E59" s="4" t="s">
        <v>230</v>
      </c>
    </row>
    <row r="60" spans="1:5" x14ac:dyDescent="0.25">
      <c r="A60" s="3" t="s">
        <v>441</v>
      </c>
      <c r="E60" s="4" t="s">
        <v>230</v>
      </c>
    </row>
    <row r="61" spans="1:5" x14ac:dyDescent="0.25">
      <c r="A61" s="3" t="s">
        <v>442</v>
      </c>
      <c r="E61" s="4" t="s">
        <v>230</v>
      </c>
    </row>
    <row r="62" spans="1:5" x14ac:dyDescent="0.25">
      <c r="A62" s="3" t="s">
        <v>443</v>
      </c>
      <c r="E62" s="4" t="s">
        <v>230</v>
      </c>
    </row>
    <row r="63" spans="1:5" x14ac:dyDescent="0.25">
      <c r="A63" s="3" t="s">
        <v>444</v>
      </c>
      <c r="E63" s="4" t="s">
        <v>230</v>
      </c>
    </row>
    <row r="64" spans="1:5" x14ac:dyDescent="0.25">
      <c r="A64" s="3" t="s">
        <v>445</v>
      </c>
      <c r="E64" s="4" t="s">
        <v>230</v>
      </c>
    </row>
    <row r="65" spans="1:5" x14ac:dyDescent="0.25">
      <c r="A65" s="3" t="s">
        <v>446</v>
      </c>
      <c r="E65" s="4" t="s">
        <v>230</v>
      </c>
    </row>
    <row r="66" spans="1:5" x14ac:dyDescent="0.25">
      <c r="A66" s="3" t="s">
        <v>447</v>
      </c>
      <c r="E66" s="4" t="s">
        <v>230</v>
      </c>
    </row>
    <row r="67" spans="1:5" x14ac:dyDescent="0.25">
      <c r="A67" s="3" t="s">
        <v>448</v>
      </c>
      <c r="E67" s="4" t="s">
        <v>230</v>
      </c>
    </row>
    <row r="68" spans="1:5" x14ac:dyDescent="0.25">
      <c r="A68" s="3" t="s">
        <v>449</v>
      </c>
      <c r="E68" s="4" t="s">
        <v>230</v>
      </c>
    </row>
    <row r="69" spans="1:5" x14ac:dyDescent="0.25">
      <c r="A69" s="3" t="s">
        <v>450</v>
      </c>
      <c r="E69" s="4" t="s">
        <v>230</v>
      </c>
    </row>
    <row r="70" spans="1:5" x14ac:dyDescent="0.25">
      <c r="A70" s="3" t="s">
        <v>451</v>
      </c>
      <c r="E70" s="4" t="s">
        <v>230</v>
      </c>
    </row>
    <row r="71" spans="1:5" x14ac:dyDescent="0.25">
      <c r="A71" s="3" t="s">
        <v>452</v>
      </c>
      <c r="E71" s="4" t="s">
        <v>230</v>
      </c>
    </row>
    <row r="72" spans="1:5" x14ac:dyDescent="0.25">
      <c r="A72" s="3" t="s">
        <v>453</v>
      </c>
      <c r="E72" s="4" t="s">
        <v>230</v>
      </c>
    </row>
    <row r="73" spans="1:5" x14ac:dyDescent="0.25">
      <c r="A73" s="3" t="s">
        <v>454</v>
      </c>
      <c r="E73" s="4" t="s">
        <v>230</v>
      </c>
    </row>
    <row r="74" spans="1:5" x14ac:dyDescent="0.25">
      <c r="A74" s="3" t="s">
        <v>455</v>
      </c>
      <c r="E74" s="4" t="s">
        <v>230</v>
      </c>
    </row>
    <row r="75" spans="1:5" x14ac:dyDescent="0.25">
      <c r="A75" s="3" t="s">
        <v>456</v>
      </c>
      <c r="B75" s="3" t="s">
        <v>539</v>
      </c>
      <c r="E75" s="4" t="s">
        <v>231</v>
      </c>
    </row>
    <row r="76" spans="1:5" x14ac:dyDescent="0.25">
      <c r="A76" s="3" t="s">
        <v>457</v>
      </c>
      <c r="B76" s="3" t="s">
        <v>540</v>
      </c>
      <c r="E76" s="4" t="s">
        <v>231</v>
      </c>
    </row>
    <row r="77" spans="1:5" x14ac:dyDescent="0.25">
      <c r="A77" s="3" t="s">
        <v>458</v>
      </c>
      <c r="B77" s="3" t="s">
        <v>541</v>
      </c>
      <c r="E77" s="4" t="s">
        <v>231</v>
      </c>
    </row>
    <row r="78" spans="1:5" x14ac:dyDescent="0.25">
      <c r="A78" s="3" t="s">
        <v>459</v>
      </c>
      <c r="B78" s="3" t="s">
        <v>542</v>
      </c>
      <c r="E78" s="4" t="s">
        <v>231</v>
      </c>
    </row>
    <row r="79" spans="1:5" x14ac:dyDescent="0.25">
      <c r="A79" s="3" t="s">
        <v>460</v>
      </c>
      <c r="B79" s="3" t="s">
        <v>543</v>
      </c>
      <c r="E79" s="4" t="s">
        <v>231</v>
      </c>
    </row>
    <row r="80" spans="1:5" x14ac:dyDescent="0.25">
      <c r="A80" s="3" t="s">
        <v>461</v>
      </c>
      <c r="B80" s="3" t="s">
        <v>544</v>
      </c>
      <c r="E80" s="4" t="s">
        <v>231</v>
      </c>
    </row>
    <row r="81" spans="1:5" x14ac:dyDescent="0.25">
      <c r="A81" s="3" t="s">
        <v>462</v>
      </c>
      <c r="B81" s="3" t="s">
        <v>545</v>
      </c>
      <c r="E81" s="4" t="s">
        <v>231</v>
      </c>
    </row>
    <row r="82" spans="1:5" x14ac:dyDescent="0.25">
      <c r="A82" s="3" t="s">
        <v>463</v>
      </c>
      <c r="B82" s="3" t="s">
        <v>546</v>
      </c>
      <c r="E82" s="4" t="s">
        <v>231</v>
      </c>
    </row>
    <row r="83" spans="1:5" x14ac:dyDescent="0.25">
      <c r="A83" s="3" t="s">
        <v>464</v>
      </c>
      <c r="C83" t="s">
        <v>512</v>
      </c>
      <c r="E83" s="4" t="s">
        <v>231</v>
      </c>
    </row>
    <row r="84" spans="1:5" x14ac:dyDescent="0.25">
      <c r="A84" s="3" t="s">
        <v>465</v>
      </c>
      <c r="C84" t="s">
        <v>513</v>
      </c>
      <c r="E84" s="4" t="s">
        <v>231</v>
      </c>
    </row>
    <row r="85" spans="1:5" x14ac:dyDescent="0.25">
      <c r="A85" s="3" t="s">
        <v>466</v>
      </c>
      <c r="C85" t="s">
        <v>515</v>
      </c>
      <c r="E85" s="4" t="s">
        <v>231</v>
      </c>
    </row>
    <row r="86" spans="1:5" x14ac:dyDescent="0.25">
      <c r="A86" s="3" t="s">
        <v>467</v>
      </c>
      <c r="C86" t="s">
        <v>516</v>
      </c>
      <c r="E86" s="4" t="s">
        <v>231</v>
      </c>
    </row>
    <row r="87" spans="1:5" x14ac:dyDescent="0.25">
      <c r="A87" s="3" t="s">
        <v>468</v>
      </c>
      <c r="C87" t="s">
        <v>517</v>
      </c>
      <c r="E87" s="4" t="s">
        <v>231</v>
      </c>
    </row>
    <row r="88" spans="1:5" x14ac:dyDescent="0.25">
      <c r="A88" s="3" t="s">
        <v>469</v>
      </c>
      <c r="E88" s="4" t="s">
        <v>231</v>
      </c>
    </row>
    <row r="89" spans="1:5" x14ac:dyDescent="0.25">
      <c r="A89" s="3" t="s">
        <v>470</v>
      </c>
      <c r="E89" s="4" t="s">
        <v>231</v>
      </c>
    </row>
    <row r="90" spans="1:5" x14ac:dyDescent="0.25">
      <c r="A90" s="3" t="s">
        <v>471</v>
      </c>
      <c r="E90" s="4" t="s">
        <v>231</v>
      </c>
    </row>
    <row r="91" spans="1:5" x14ac:dyDescent="0.25">
      <c r="A91" s="3" t="s">
        <v>472</v>
      </c>
      <c r="E91" s="4" t="s">
        <v>231</v>
      </c>
    </row>
    <row r="92" spans="1:5" x14ac:dyDescent="0.25">
      <c r="A92" s="3" t="s">
        <v>473</v>
      </c>
      <c r="E92" s="4" t="s">
        <v>231</v>
      </c>
    </row>
    <row r="93" spans="1:5" x14ac:dyDescent="0.25">
      <c r="A93" s="3" t="s">
        <v>474</v>
      </c>
      <c r="E93" s="4" t="s">
        <v>231</v>
      </c>
    </row>
    <row r="94" spans="1:5" x14ac:dyDescent="0.25">
      <c r="A94" s="3" t="s">
        <v>475</v>
      </c>
      <c r="E94" s="4" t="s">
        <v>231</v>
      </c>
    </row>
    <row r="95" spans="1:5" x14ac:dyDescent="0.25">
      <c r="A95" s="3" t="s">
        <v>476</v>
      </c>
      <c r="E95" s="4" t="s">
        <v>231</v>
      </c>
    </row>
    <row r="96" spans="1:5" x14ac:dyDescent="0.25">
      <c r="A96" s="3" t="s">
        <v>477</v>
      </c>
      <c r="E96" s="4" t="s">
        <v>231</v>
      </c>
    </row>
    <row r="97" spans="1:5" x14ac:dyDescent="0.25">
      <c r="A97" s="3" t="s">
        <v>478</v>
      </c>
      <c r="E97" s="4" t="s">
        <v>231</v>
      </c>
    </row>
    <row r="98" spans="1:5" x14ac:dyDescent="0.25">
      <c r="A98" s="3" t="s">
        <v>479</v>
      </c>
      <c r="E98" s="4" t="s">
        <v>231</v>
      </c>
    </row>
    <row r="99" spans="1:5" x14ac:dyDescent="0.25">
      <c r="A99" s="3" t="s">
        <v>480</v>
      </c>
      <c r="E99" s="4" t="s">
        <v>231</v>
      </c>
    </row>
    <row r="100" spans="1:5" x14ac:dyDescent="0.25">
      <c r="A100" s="3" t="s">
        <v>481</v>
      </c>
      <c r="E100" s="4" t="s">
        <v>231</v>
      </c>
    </row>
    <row r="101" spans="1:5" x14ac:dyDescent="0.25">
      <c r="A101" s="3" t="s">
        <v>482</v>
      </c>
      <c r="E101" s="4" t="s">
        <v>231</v>
      </c>
    </row>
    <row r="102" spans="1:5" x14ac:dyDescent="0.25">
      <c r="A102" s="3" t="s">
        <v>483</v>
      </c>
      <c r="E102" s="4" t="s">
        <v>231</v>
      </c>
    </row>
    <row r="103" spans="1:5" x14ac:dyDescent="0.25">
      <c r="A103" s="3" t="s">
        <v>484</v>
      </c>
      <c r="E103" s="4" t="s">
        <v>231</v>
      </c>
    </row>
    <row r="104" spans="1:5" x14ac:dyDescent="0.25">
      <c r="A104" s="3" t="s">
        <v>485</v>
      </c>
      <c r="E104" s="4" t="s">
        <v>231</v>
      </c>
    </row>
    <row r="105" spans="1:5" x14ac:dyDescent="0.25">
      <c r="A105" s="3" t="s">
        <v>486</v>
      </c>
      <c r="E105" s="4" t="s">
        <v>231</v>
      </c>
    </row>
    <row r="106" spans="1:5" x14ac:dyDescent="0.25">
      <c r="A106" s="3" t="s">
        <v>487</v>
      </c>
      <c r="E106" s="4" t="s">
        <v>231</v>
      </c>
    </row>
    <row r="107" spans="1:5" x14ac:dyDescent="0.25">
      <c r="A107" s="3" t="s">
        <v>488</v>
      </c>
      <c r="E107" s="4" t="s">
        <v>231</v>
      </c>
    </row>
    <row r="108" spans="1:5" x14ac:dyDescent="0.25">
      <c r="A108" s="3" t="s">
        <v>489</v>
      </c>
      <c r="E108" s="4" t="s">
        <v>231</v>
      </c>
    </row>
    <row r="109" spans="1:5" x14ac:dyDescent="0.25">
      <c r="A109" s="3" t="s">
        <v>490</v>
      </c>
      <c r="E109" s="4" t="s">
        <v>231</v>
      </c>
    </row>
    <row r="110" spans="1:5" x14ac:dyDescent="0.25">
      <c r="A110" s="3" t="s">
        <v>491</v>
      </c>
      <c r="E110" s="4" t="s">
        <v>231</v>
      </c>
    </row>
    <row r="111" spans="1:5" x14ac:dyDescent="0.25">
      <c r="A111" s="3" t="s">
        <v>492</v>
      </c>
      <c r="E111" t="s">
        <v>232</v>
      </c>
    </row>
    <row r="112" spans="1:5" x14ac:dyDescent="0.25">
      <c r="A112" s="3" t="s">
        <v>493</v>
      </c>
      <c r="E112" t="s">
        <v>232</v>
      </c>
    </row>
    <row r="113" spans="1:5" x14ac:dyDescent="0.25">
      <c r="A113" s="3" t="s">
        <v>494</v>
      </c>
      <c r="E113" t="s">
        <v>232</v>
      </c>
    </row>
    <row r="114" spans="1:5" x14ac:dyDescent="0.25">
      <c r="A114" s="3" t="s">
        <v>495</v>
      </c>
      <c r="E114" t="s">
        <v>232</v>
      </c>
    </row>
    <row r="115" spans="1:5" x14ac:dyDescent="0.25">
      <c r="A115" s="3" t="s">
        <v>496</v>
      </c>
      <c r="E115" t="s">
        <v>232</v>
      </c>
    </row>
    <row r="116" spans="1:5" x14ac:dyDescent="0.25">
      <c r="A116" s="3" t="s">
        <v>497</v>
      </c>
      <c r="E116" t="s">
        <v>232</v>
      </c>
    </row>
    <row r="117" spans="1:5" x14ac:dyDescent="0.25">
      <c r="A117" s="3" t="s">
        <v>498</v>
      </c>
      <c r="B117" s="3" t="s">
        <v>547</v>
      </c>
      <c r="E117" t="s">
        <v>233</v>
      </c>
    </row>
    <row r="118" spans="1:5" x14ac:dyDescent="0.25">
      <c r="A118" s="3" t="s">
        <v>499</v>
      </c>
      <c r="B118" s="3" t="s">
        <v>548</v>
      </c>
      <c r="E118" t="s">
        <v>233</v>
      </c>
    </row>
    <row r="119" spans="1:5" x14ac:dyDescent="0.25">
      <c r="A119" s="3" t="s">
        <v>500</v>
      </c>
      <c r="B119" s="3" t="s">
        <v>549</v>
      </c>
      <c r="E119" t="s">
        <v>233</v>
      </c>
    </row>
    <row r="120" spans="1:5" x14ac:dyDescent="0.25">
      <c r="A120" s="3" t="s">
        <v>501</v>
      </c>
      <c r="E120" t="s">
        <v>233</v>
      </c>
    </row>
    <row r="121" spans="1:5" x14ac:dyDescent="0.25">
      <c r="A121" s="3" t="s">
        <v>502</v>
      </c>
      <c r="E121" t="s">
        <v>233</v>
      </c>
    </row>
    <row r="122" spans="1:5" x14ac:dyDescent="0.25">
      <c r="A122" s="3" t="s">
        <v>503</v>
      </c>
      <c r="E122" t="s">
        <v>233</v>
      </c>
    </row>
    <row r="123" spans="1:5" x14ac:dyDescent="0.25">
      <c r="A123" s="3" t="s">
        <v>504</v>
      </c>
      <c r="C123" t="s">
        <v>518</v>
      </c>
      <c r="E123" t="s">
        <v>511</v>
      </c>
    </row>
    <row r="124" spans="1:5" x14ac:dyDescent="0.25">
      <c r="A124" s="3" t="s">
        <v>505</v>
      </c>
      <c r="C124" t="s">
        <v>519</v>
      </c>
      <c r="E124" t="s">
        <v>511</v>
      </c>
    </row>
    <row r="125" spans="1:5" x14ac:dyDescent="0.25">
      <c r="A125" s="3" t="s">
        <v>506</v>
      </c>
      <c r="C125" t="s">
        <v>520</v>
      </c>
      <c r="E125" t="s">
        <v>511</v>
      </c>
    </row>
    <row r="126" spans="1:5" x14ac:dyDescent="0.25">
      <c r="A126" s="3" t="s">
        <v>507</v>
      </c>
      <c r="C126" t="s">
        <v>521</v>
      </c>
      <c r="E126" t="s">
        <v>511</v>
      </c>
    </row>
    <row r="127" spans="1:5" x14ac:dyDescent="0.25">
      <c r="A127" s="3" t="s">
        <v>508</v>
      </c>
      <c r="E127" t="s">
        <v>511</v>
      </c>
    </row>
    <row r="128" spans="1:5" x14ac:dyDescent="0.25">
      <c r="A128" s="3" t="s">
        <v>509</v>
      </c>
      <c r="E128" t="s">
        <v>511</v>
      </c>
    </row>
    <row r="129" spans="1:5" x14ac:dyDescent="0.25">
      <c r="A129" s="3" t="s">
        <v>510</v>
      </c>
      <c r="E129" t="s">
        <v>528</v>
      </c>
    </row>
  </sheetData>
  <autoFilter ref="C1:G3" xr:uid="{E3DBB562-6BE2-4E0F-99D9-334637635683}"/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BB562-6BE2-4E0F-99D9-334637635683}">
  <dimension ref="A1:F22"/>
  <sheetViews>
    <sheetView workbookViewId="0">
      <selection activeCell="A2" sqref="A2:F22"/>
    </sheetView>
  </sheetViews>
  <sheetFormatPr defaultRowHeight="15" x14ac:dyDescent="0.25"/>
  <cols>
    <col min="1" max="1" width="34" customWidth="1"/>
    <col min="2" max="2" width="18.5703125" customWidth="1"/>
    <col min="3" max="3" width="25.7109375" customWidth="1"/>
    <col min="4" max="4" width="9.140625" style="3"/>
  </cols>
  <sheetData>
    <row r="1" spans="1:6" x14ac:dyDescent="0.25">
      <c r="A1" s="1" t="s">
        <v>136</v>
      </c>
      <c r="B1" s="1" t="s">
        <v>145</v>
      </c>
      <c r="C1" t="s">
        <v>137</v>
      </c>
      <c r="D1" s="3" t="s">
        <v>138</v>
      </c>
      <c r="E1" t="s">
        <v>246</v>
      </c>
      <c r="F1" t="s">
        <v>139</v>
      </c>
    </row>
    <row r="2" spans="1:6" x14ac:dyDescent="0.25">
      <c r="A2" s="21" t="s">
        <v>140</v>
      </c>
      <c r="B2" s="21" t="s">
        <v>140</v>
      </c>
      <c r="C2" s="21" t="s">
        <v>229</v>
      </c>
      <c r="D2" s="22" t="s">
        <v>268</v>
      </c>
      <c r="E2" s="21">
        <v>123</v>
      </c>
      <c r="F2" s="21" t="s">
        <v>266</v>
      </c>
    </row>
    <row r="3" spans="1:6" x14ac:dyDescent="0.25">
      <c r="A3" s="7" t="s">
        <v>141</v>
      </c>
      <c r="B3" s="7" t="s">
        <v>27</v>
      </c>
      <c r="C3" s="7" t="s">
        <v>229</v>
      </c>
      <c r="D3" s="9" t="s">
        <v>152</v>
      </c>
      <c r="E3" s="7">
        <v>84</v>
      </c>
      <c r="F3" s="7" t="s">
        <v>247</v>
      </c>
    </row>
    <row r="4" spans="1:6" x14ac:dyDescent="0.25">
      <c r="A4" s="13" t="s">
        <v>8</v>
      </c>
      <c r="B4" s="13" t="s">
        <v>146</v>
      </c>
      <c r="C4" s="13" t="s">
        <v>229</v>
      </c>
      <c r="D4" s="16" t="s">
        <v>149</v>
      </c>
      <c r="E4" s="13">
        <v>151</v>
      </c>
      <c r="F4" s="13" t="s">
        <v>255</v>
      </c>
    </row>
    <row r="5" spans="1:6" x14ac:dyDescent="0.25">
      <c r="A5" s="19" t="s">
        <v>244</v>
      </c>
      <c r="B5" s="19" t="s">
        <v>148</v>
      </c>
      <c r="C5" s="19" t="s">
        <v>230</v>
      </c>
      <c r="D5" s="15" t="s">
        <v>153</v>
      </c>
      <c r="E5" s="19">
        <v>184</v>
      </c>
      <c r="F5" s="19" t="s">
        <v>254</v>
      </c>
    </row>
    <row r="6" spans="1:6" x14ac:dyDescent="0.25">
      <c r="A6" s="24" t="s">
        <v>52</v>
      </c>
      <c r="B6" s="24" t="s">
        <v>154</v>
      </c>
      <c r="C6" s="24" t="s">
        <v>230</v>
      </c>
      <c r="D6" s="25" t="s">
        <v>155</v>
      </c>
      <c r="E6" s="24">
        <v>19</v>
      </c>
      <c r="F6" s="24" t="s">
        <v>249</v>
      </c>
    </row>
    <row r="7" spans="1:6" x14ac:dyDescent="0.25">
      <c r="A7" s="18" t="s">
        <v>182</v>
      </c>
      <c r="B7" s="18" t="s">
        <v>21</v>
      </c>
      <c r="C7" s="18" t="s">
        <v>230</v>
      </c>
      <c r="D7" s="17" t="s">
        <v>142</v>
      </c>
      <c r="E7" s="18">
        <v>186</v>
      </c>
      <c r="F7" s="18" t="s">
        <v>253</v>
      </c>
    </row>
    <row r="8" spans="1:6" x14ac:dyDescent="0.25">
      <c r="A8" s="10" t="s">
        <v>245</v>
      </c>
      <c r="B8" s="10"/>
      <c r="C8" s="10" t="s">
        <v>230</v>
      </c>
      <c r="D8" s="20" t="s">
        <v>143</v>
      </c>
      <c r="E8" s="10">
        <v>51</v>
      </c>
      <c r="F8" s="10" t="s">
        <v>273</v>
      </c>
    </row>
    <row r="9" spans="1:6" x14ac:dyDescent="0.25">
      <c r="A9" s="26" t="s">
        <v>167</v>
      </c>
      <c r="B9" s="26"/>
      <c r="C9" s="26" t="s">
        <v>230</v>
      </c>
      <c r="D9" s="27" t="s">
        <v>144</v>
      </c>
      <c r="E9" s="26">
        <v>46</v>
      </c>
      <c r="F9" s="26" t="s">
        <v>289</v>
      </c>
    </row>
    <row r="10" spans="1:6" x14ac:dyDescent="0.25">
      <c r="A10" s="34" t="s">
        <v>220</v>
      </c>
      <c r="B10" s="34" t="s">
        <v>150</v>
      </c>
      <c r="C10" s="34" t="s">
        <v>231</v>
      </c>
      <c r="D10" s="35" t="s">
        <v>156</v>
      </c>
      <c r="E10" s="34">
        <v>144</v>
      </c>
      <c r="F10" s="34" t="s">
        <v>255</v>
      </c>
    </row>
    <row r="11" spans="1:6" x14ac:dyDescent="0.25">
      <c r="A11" s="37" t="s">
        <v>223</v>
      </c>
      <c r="B11" s="37" t="s">
        <v>158</v>
      </c>
      <c r="C11" s="37" t="s">
        <v>231</v>
      </c>
      <c r="D11" s="38" t="s">
        <v>157</v>
      </c>
      <c r="E11" s="34">
        <v>190</v>
      </c>
      <c r="F11" s="34" t="s">
        <v>273</v>
      </c>
    </row>
    <row r="12" spans="1:6" x14ac:dyDescent="0.25">
      <c r="A12" s="34" t="s">
        <v>224</v>
      </c>
      <c r="B12" s="34" t="s">
        <v>147</v>
      </c>
      <c r="C12" s="34" t="s">
        <v>231</v>
      </c>
      <c r="D12" s="35" t="s">
        <v>159</v>
      </c>
      <c r="E12" s="34">
        <v>64</v>
      </c>
      <c r="F12" s="34" t="s">
        <v>266</v>
      </c>
    </row>
    <row r="13" spans="1:6" x14ac:dyDescent="0.25">
      <c r="A13" s="34" t="s">
        <v>221</v>
      </c>
      <c r="B13" s="34"/>
      <c r="C13" s="34" t="s">
        <v>231</v>
      </c>
      <c r="D13" s="35" t="s">
        <v>160</v>
      </c>
      <c r="E13" s="34">
        <v>170</v>
      </c>
      <c r="F13" s="34" t="s">
        <v>294</v>
      </c>
    </row>
    <row r="14" spans="1:6" x14ac:dyDescent="0.25">
      <c r="A14" s="40" t="s">
        <v>39</v>
      </c>
      <c r="B14" s="40" t="s">
        <v>151</v>
      </c>
      <c r="C14" s="40" t="s">
        <v>232</v>
      </c>
      <c r="D14" s="41" t="s">
        <v>161</v>
      </c>
      <c r="E14" s="40">
        <v>160</v>
      </c>
      <c r="F14" s="40" t="s">
        <v>256</v>
      </c>
    </row>
    <row r="15" spans="1:6" x14ac:dyDescent="0.25">
      <c r="A15" s="40" t="s">
        <v>42</v>
      </c>
      <c r="B15" s="40" t="s">
        <v>42</v>
      </c>
      <c r="C15" s="40" t="s">
        <v>232</v>
      </c>
      <c r="D15" s="41" t="s">
        <v>162</v>
      </c>
      <c r="E15" s="40">
        <v>96</v>
      </c>
      <c r="F15" s="40" t="s">
        <v>247</v>
      </c>
    </row>
    <row r="16" spans="1:6" x14ac:dyDescent="0.25">
      <c r="A16" s="40" t="s">
        <v>40</v>
      </c>
      <c r="B16" s="40" t="s">
        <v>40</v>
      </c>
      <c r="C16" s="40" t="s">
        <v>232</v>
      </c>
      <c r="D16" s="41" t="s">
        <v>163</v>
      </c>
      <c r="E16" s="40">
        <v>128</v>
      </c>
      <c r="F16" s="40" t="s">
        <v>275</v>
      </c>
    </row>
    <row r="17" spans="1:6" x14ac:dyDescent="0.25">
      <c r="A17" s="31" t="s">
        <v>43</v>
      </c>
      <c r="B17" s="31" t="s">
        <v>43</v>
      </c>
      <c r="C17" s="31" t="s">
        <v>233</v>
      </c>
      <c r="D17" s="32" t="s">
        <v>165</v>
      </c>
      <c r="E17" s="31">
        <v>148</v>
      </c>
      <c r="F17" s="31" t="s">
        <v>255</v>
      </c>
    </row>
    <row r="18" spans="1:6" x14ac:dyDescent="0.25">
      <c r="A18" s="31" t="s">
        <v>54</v>
      </c>
      <c r="B18" s="31" t="s">
        <v>54</v>
      </c>
      <c r="C18" s="31" t="s">
        <v>233</v>
      </c>
      <c r="D18" s="32" t="s">
        <v>166</v>
      </c>
      <c r="E18" s="31">
        <v>2</v>
      </c>
      <c r="F18" s="31" t="s">
        <v>270</v>
      </c>
    </row>
    <row r="19" spans="1:6" x14ac:dyDescent="0.25">
      <c r="A19" s="29" t="s">
        <v>225</v>
      </c>
      <c r="B19" s="29"/>
      <c r="C19" s="29" t="s">
        <v>234</v>
      </c>
      <c r="D19" s="30" t="s">
        <v>218</v>
      </c>
      <c r="E19" s="29">
        <v>11</v>
      </c>
      <c r="F19" s="29" t="s">
        <v>249</v>
      </c>
    </row>
    <row r="20" spans="1:6" x14ac:dyDescent="0.25">
      <c r="A20" s="29" t="s">
        <v>226</v>
      </c>
      <c r="B20" s="29"/>
      <c r="C20" s="29" t="s">
        <v>234</v>
      </c>
      <c r="D20" s="30" t="s">
        <v>219</v>
      </c>
      <c r="E20" s="29">
        <v>4</v>
      </c>
      <c r="F20" s="29" t="s">
        <v>291</v>
      </c>
    </row>
    <row r="21" spans="1:6" x14ac:dyDescent="0.25">
      <c r="A21" s="29" t="s">
        <v>227</v>
      </c>
      <c r="B21" s="29"/>
      <c r="C21" s="29" t="s">
        <v>234</v>
      </c>
      <c r="D21" s="30" t="s">
        <v>222</v>
      </c>
      <c r="E21" s="29">
        <v>150</v>
      </c>
      <c r="F21" s="29" t="s">
        <v>255</v>
      </c>
    </row>
    <row r="22" spans="1:6" x14ac:dyDescent="0.25">
      <c r="A22" s="29" t="s">
        <v>164</v>
      </c>
      <c r="B22" s="29"/>
      <c r="C22" s="29" t="s">
        <v>234</v>
      </c>
      <c r="D22" s="30" t="s">
        <v>228</v>
      </c>
      <c r="E22" s="29">
        <v>49</v>
      </c>
      <c r="F22" s="29" t="s">
        <v>289</v>
      </c>
    </row>
  </sheetData>
  <autoFilter ref="A1:F22" xr:uid="{E3DBB562-6BE2-4E0F-99D9-334637635683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AE8C-A0D0-4F28-8815-417D9EA902FE}">
  <dimension ref="A1:B6"/>
  <sheetViews>
    <sheetView workbookViewId="0">
      <selection activeCell="B7" sqref="B7"/>
    </sheetView>
  </sheetViews>
  <sheetFormatPr defaultRowHeight="15" x14ac:dyDescent="0.25"/>
  <sheetData>
    <row r="1" spans="1:2" x14ac:dyDescent="0.25">
      <c r="A1" t="s">
        <v>305</v>
      </c>
    </row>
    <row r="2" spans="1:2" x14ac:dyDescent="0.25">
      <c r="A2" t="s">
        <v>306</v>
      </c>
      <c r="B2">
        <v>1</v>
      </c>
    </row>
    <row r="3" spans="1:2" x14ac:dyDescent="0.25">
      <c r="A3" t="s">
        <v>307</v>
      </c>
      <c r="B3">
        <v>20</v>
      </c>
    </row>
    <row r="4" spans="1:2" x14ac:dyDescent="0.25">
      <c r="A4" t="s">
        <v>308</v>
      </c>
      <c r="B4">
        <v>200</v>
      </c>
    </row>
    <row r="5" spans="1:2" x14ac:dyDescent="0.25">
      <c r="A5" t="s">
        <v>321</v>
      </c>
      <c r="B5">
        <v>200</v>
      </c>
    </row>
    <row r="6" spans="1:2" x14ac:dyDescent="0.25">
      <c r="A6" t="s">
        <v>320</v>
      </c>
      <c r="B6">
        <v>200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58100-1788-42BD-B41D-C05C82F2466A}">
  <dimension ref="A1:O42"/>
  <sheetViews>
    <sheetView workbookViewId="0">
      <selection activeCell="A34" sqref="A34:E42"/>
    </sheetView>
  </sheetViews>
  <sheetFormatPr defaultRowHeight="11.25" x14ac:dyDescent="0.2"/>
  <cols>
    <col min="1" max="1" width="13.28515625" style="44" bestFit="1" customWidth="1"/>
    <col min="2" max="2" width="18.7109375" style="44" customWidth="1"/>
    <col min="3" max="3" width="9.7109375" style="45" customWidth="1"/>
    <col min="4" max="4" width="5.7109375" style="46" customWidth="1"/>
    <col min="5" max="5" width="10.7109375" style="46" customWidth="1"/>
    <col min="6" max="6" width="5.7109375" style="44" customWidth="1"/>
    <col min="7" max="7" width="17.42578125" style="44" bestFit="1" customWidth="1"/>
    <col min="8" max="8" width="18.7109375" style="44" customWidth="1"/>
    <col min="9" max="9" width="9.7109375" style="45" customWidth="1"/>
    <col min="10" max="10" width="5.7109375" style="46" customWidth="1"/>
    <col min="11" max="11" width="10.7109375" style="46" customWidth="1"/>
    <col min="12" max="16384" width="9.140625" style="44"/>
  </cols>
  <sheetData>
    <row r="1" spans="1:15" ht="12" thickBot="1" x14ac:dyDescent="0.25">
      <c r="A1" s="43" t="s">
        <v>323</v>
      </c>
      <c r="G1" s="43" t="s">
        <v>324</v>
      </c>
    </row>
    <row r="2" spans="1:15" x14ac:dyDescent="0.2">
      <c r="A2" s="59" t="s">
        <v>314</v>
      </c>
      <c r="B2" s="60" t="s">
        <v>315</v>
      </c>
      <c r="C2" s="61" t="s">
        <v>316</v>
      </c>
      <c r="D2" s="62" t="s">
        <v>317</v>
      </c>
      <c r="E2" s="63" t="s">
        <v>319</v>
      </c>
      <c r="G2" s="59" t="s">
        <v>322</v>
      </c>
      <c r="H2" s="60" t="s">
        <v>315</v>
      </c>
      <c r="I2" s="61" t="s">
        <v>316</v>
      </c>
      <c r="J2" s="62" t="s">
        <v>317</v>
      </c>
      <c r="K2" s="63" t="s">
        <v>319</v>
      </c>
    </row>
    <row r="3" spans="1:15" x14ac:dyDescent="0.2">
      <c r="A3" s="94">
        <v>20</v>
      </c>
      <c r="B3" s="97" t="s">
        <v>63</v>
      </c>
      <c r="C3" s="64">
        <v>20</v>
      </c>
      <c r="D3" s="65">
        <f>IF((A$3/prodtype)&gt;=C3,1,0)</f>
        <v>1</v>
      </c>
      <c r="E3" s="52"/>
      <c r="G3" s="94">
        <v>0</v>
      </c>
      <c r="H3" s="99" t="s">
        <v>66</v>
      </c>
      <c r="I3" s="64">
        <v>0</v>
      </c>
      <c r="J3" s="71">
        <f>IF($G$3&gt;I3,1,0)</f>
        <v>0</v>
      </c>
      <c r="K3" s="82"/>
    </row>
    <row r="4" spans="1:15" x14ac:dyDescent="0.2">
      <c r="A4" s="95"/>
      <c r="B4" s="97"/>
      <c r="C4" s="64">
        <v>800</v>
      </c>
      <c r="D4" s="65">
        <f>IF(A$3&gt;C4,1,0)</f>
        <v>0</v>
      </c>
      <c r="E4" s="52"/>
      <c r="G4" s="95"/>
      <c r="H4" s="97"/>
      <c r="I4" s="64">
        <f>ensp</f>
        <v>200</v>
      </c>
      <c r="J4" s="71">
        <f t="shared" ref="J4:J6" si="0">IF($G$3&gt;I4,1,0)</f>
        <v>0</v>
      </c>
      <c r="K4" s="82"/>
    </row>
    <row r="5" spans="1:15" x14ac:dyDescent="0.2">
      <c r="A5" s="95"/>
      <c r="B5" s="97"/>
      <c r="C5" s="66">
        <v>1500</v>
      </c>
      <c r="D5" s="65">
        <f>IF(AND($A$15&gt;=baseprod)*A$3&gt;C5,1,0)</f>
        <v>0</v>
      </c>
      <c r="E5" s="52"/>
      <c r="G5" s="95"/>
      <c r="H5" s="97"/>
      <c r="I5" s="64">
        <v>1000</v>
      </c>
      <c r="J5" s="71">
        <f t="shared" si="0"/>
        <v>0</v>
      </c>
      <c r="K5" s="82"/>
    </row>
    <row r="6" spans="1:15" x14ac:dyDescent="0.2">
      <c r="A6" s="95"/>
      <c r="B6" s="97"/>
      <c r="C6" s="66">
        <v>3000</v>
      </c>
      <c r="D6" s="65">
        <f>IF(AND($A$15&gt;=baseprod)*A$3&gt;C6,1,0)</f>
        <v>0</v>
      </c>
      <c r="E6" s="52"/>
      <c r="G6" s="95"/>
      <c r="H6" s="97"/>
      <c r="I6" s="64">
        <v>3000</v>
      </c>
      <c r="J6" s="71">
        <f t="shared" si="0"/>
        <v>0</v>
      </c>
      <c r="K6" s="82"/>
    </row>
    <row r="7" spans="1:15" ht="12" thickBot="1" x14ac:dyDescent="0.25">
      <c r="A7" s="95"/>
      <c r="B7" s="97"/>
      <c r="C7" s="67">
        <v>8000</v>
      </c>
      <c r="D7" s="65">
        <f>ROUNDDOWN($A$3/C7,0)</f>
        <v>0</v>
      </c>
      <c r="E7" s="52"/>
      <c r="G7" s="96"/>
      <c r="H7" s="98"/>
      <c r="I7" s="48" t="s">
        <v>313</v>
      </c>
      <c r="J7" s="49">
        <f>SUM(J3:J6)</f>
        <v>0</v>
      </c>
      <c r="K7" s="53">
        <f>(2/prodtype)*J7*(J15/4)</f>
        <v>0</v>
      </c>
    </row>
    <row r="8" spans="1:15" x14ac:dyDescent="0.2">
      <c r="A8" s="95"/>
      <c r="B8" s="97"/>
      <c r="C8" s="48" t="s">
        <v>309</v>
      </c>
      <c r="D8" s="50">
        <f>SUM(D3:D7)</f>
        <v>1</v>
      </c>
      <c r="E8" s="53"/>
      <c r="G8" s="59" t="s">
        <v>322</v>
      </c>
      <c r="H8" s="60" t="s">
        <v>315</v>
      </c>
      <c r="I8" s="61" t="s">
        <v>316</v>
      </c>
      <c r="J8" s="62" t="s">
        <v>317</v>
      </c>
      <c r="K8" s="63" t="s">
        <v>319</v>
      </c>
    </row>
    <row r="9" spans="1:15" x14ac:dyDescent="0.2">
      <c r="A9" s="95"/>
      <c r="B9" s="97"/>
      <c r="C9" s="68" t="s">
        <v>310</v>
      </c>
      <c r="D9" s="65">
        <f>(IF($A$15&gt;synergy,1,0))*(IF($A$3&gt;synergy,1,0))</f>
        <v>0</v>
      </c>
      <c r="E9" s="52"/>
      <c r="G9" s="94">
        <v>0</v>
      </c>
      <c r="H9" s="99" t="s">
        <v>4</v>
      </c>
      <c r="I9" s="64">
        <v>0</v>
      </c>
      <c r="J9" s="71">
        <f>IF($G$9&gt;I9,1,0)</f>
        <v>0</v>
      </c>
      <c r="K9" s="82"/>
    </row>
    <row r="10" spans="1:15" x14ac:dyDescent="0.2">
      <c r="A10" s="95"/>
      <c r="B10" s="97"/>
      <c r="C10" s="68" t="s">
        <v>311</v>
      </c>
      <c r="D10" s="65">
        <f>(IF($A$25&gt;synergy,1,0))*(IF($A$3&gt;synergy,1,0))</f>
        <v>0</v>
      </c>
      <c r="E10" s="52"/>
      <c r="G10" s="95"/>
      <c r="H10" s="97"/>
      <c r="I10" s="64">
        <f>commsboost</f>
        <v>200</v>
      </c>
      <c r="J10" s="71">
        <f>IF($G$9&gt;I10,1,0)</f>
        <v>0</v>
      </c>
      <c r="K10" s="82"/>
    </row>
    <row r="11" spans="1:15" ht="12" thickBot="1" x14ac:dyDescent="0.25">
      <c r="A11" s="95"/>
      <c r="B11" s="97"/>
      <c r="C11" s="68" t="s">
        <v>312</v>
      </c>
      <c r="D11" s="65">
        <f>(IF($A$35&gt;synergy,1,0))*(IF($A$3&gt;synergy,1,0))</f>
        <v>0</v>
      </c>
      <c r="E11" s="52"/>
      <c r="G11" s="96"/>
      <c r="H11" s="98"/>
      <c r="I11" s="55" t="s">
        <v>313</v>
      </c>
      <c r="J11" s="70">
        <f>SUM(J9:J10)</f>
        <v>0</v>
      </c>
      <c r="K11" s="88">
        <f>(2/prodtype)*J11</f>
        <v>0</v>
      </c>
    </row>
    <row r="12" spans="1:15" ht="12" thickBot="1" x14ac:dyDescent="0.25">
      <c r="A12" s="96"/>
      <c r="B12" s="98"/>
      <c r="C12" s="55" t="s">
        <v>313</v>
      </c>
      <c r="D12" s="56">
        <f>SUM(D9:D11)+D8</f>
        <v>1</v>
      </c>
      <c r="E12" s="57">
        <f>D12*(20/prodtype)</f>
        <v>20</v>
      </c>
    </row>
    <row r="13" spans="1:15" ht="12" thickBot="1" x14ac:dyDescent="0.25">
      <c r="C13" s="48"/>
      <c r="D13" s="50"/>
      <c r="E13" s="49"/>
      <c r="G13" s="43" t="s">
        <v>325</v>
      </c>
      <c r="J13" s="44"/>
    </row>
    <row r="14" spans="1:15" x14ac:dyDescent="0.2">
      <c r="A14" s="59" t="s">
        <v>314</v>
      </c>
      <c r="B14" s="60" t="s">
        <v>315</v>
      </c>
      <c r="C14" s="61" t="s">
        <v>316</v>
      </c>
      <c r="D14" s="62" t="s">
        <v>317</v>
      </c>
      <c r="E14" s="63" t="s">
        <v>319</v>
      </c>
      <c r="G14" s="59"/>
      <c r="H14" s="60" t="s">
        <v>315</v>
      </c>
      <c r="I14" s="61"/>
      <c r="J14" s="62" t="s">
        <v>317</v>
      </c>
      <c r="K14" s="63" t="s">
        <v>318</v>
      </c>
    </row>
    <row r="15" spans="1:15" x14ac:dyDescent="0.2">
      <c r="A15" s="94">
        <v>0</v>
      </c>
      <c r="B15" s="97" t="s">
        <v>12</v>
      </c>
      <c r="C15" s="64">
        <v>20</v>
      </c>
      <c r="D15" s="65">
        <f>IF((A$15/prodtype)&gt;=C15,1,0)</f>
        <v>0</v>
      </c>
      <c r="E15" s="52"/>
      <c r="G15" s="73"/>
      <c r="H15" s="99" t="s">
        <v>22</v>
      </c>
      <c r="I15" s="84" t="s">
        <v>326</v>
      </c>
      <c r="J15" s="74">
        <f>D12+D22+D32+D42</f>
        <v>1</v>
      </c>
      <c r="K15" s="75">
        <f>(16/prodtype)*J15</f>
        <v>16</v>
      </c>
      <c r="L15" s="79"/>
      <c r="M15" s="79"/>
      <c r="O15" s="87"/>
    </row>
    <row r="16" spans="1:15" x14ac:dyDescent="0.2">
      <c r="A16" s="95"/>
      <c r="B16" s="97"/>
      <c r="C16" s="64">
        <v>500</v>
      </c>
      <c r="D16" s="65">
        <f>IF(A$15&gt;C16,1,0)</f>
        <v>0</v>
      </c>
      <c r="E16" s="52"/>
      <c r="G16" s="76"/>
      <c r="H16" s="100"/>
      <c r="I16" s="85" t="s">
        <v>327</v>
      </c>
      <c r="J16" s="77">
        <f>J7+J11</f>
        <v>0</v>
      </c>
      <c r="K16" s="80">
        <f>((4/prodtype)*J16)*(J15/4)</f>
        <v>0</v>
      </c>
      <c r="L16" s="87"/>
    </row>
    <row r="17" spans="1:11" ht="13.5" x14ac:dyDescent="0.2">
      <c r="A17" s="95"/>
      <c r="B17" s="97"/>
      <c r="C17" s="66">
        <v>1500</v>
      </c>
      <c r="D17" s="65">
        <f>IF(AND($A$3&gt;=baseprod)*A$15&gt;C17,1,0)</f>
        <v>0</v>
      </c>
      <c r="E17" s="52"/>
      <c r="G17" s="51"/>
      <c r="H17" s="58"/>
      <c r="J17" s="47"/>
      <c r="K17" s="81">
        <f>SUM(K15:K16)</f>
        <v>16</v>
      </c>
    </row>
    <row r="18" spans="1:11" x14ac:dyDescent="0.2">
      <c r="A18" s="95"/>
      <c r="B18" s="97"/>
      <c r="C18" s="66"/>
      <c r="D18" s="65"/>
      <c r="E18" s="52"/>
      <c r="G18" s="51"/>
      <c r="I18" s="48"/>
      <c r="K18" s="82"/>
    </row>
    <row r="19" spans="1:11" x14ac:dyDescent="0.2">
      <c r="A19" s="95"/>
      <c r="B19" s="97"/>
      <c r="C19" s="67">
        <v>8000</v>
      </c>
      <c r="D19" s="65">
        <f>ROUNDDOWN($A$15/C19,0)</f>
        <v>0</v>
      </c>
      <c r="E19" s="52"/>
      <c r="G19" s="73"/>
      <c r="H19" s="99" t="s">
        <v>4</v>
      </c>
      <c r="I19" s="84"/>
      <c r="J19" s="74">
        <f>J15</f>
        <v>1</v>
      </c>
      <c r="K19" s="89">
        <f>(2/prodtype)*J7*(J15/4)</f>
        <v>0</v>
      </c>
    </row>
    <row r="20" spans="1:11" x14ac:dyDescent="0.2">
      <c r="A20" s="95"/>
      <c r="B20" s="97"/>
      <c r="C20" s="48" t="s">
        <v>309</v>
      </c>
      <c r="D20" s="50">
        <f>SUM(D15:D19)</f>
        <v>0</v>
      </c>
      <c r="E20" s="53"/>
      <c r="G20" s="76"/>
      <c r="H20" s="100"/>
      <c r="I20" s="85"/>
      <c r="J20" s="77"/>
      <c r="K20" s="78"/>
    </row>
    <row r="21" spans="1:11" x14ac:dyDescent="0.2">
      <c r="A21" s="95"/>
      <c r="B21" s="97"/>
      <c r="C21" s="68" t="s">
        <v>304</v>
      </c>
      <c r="D21" s="65">
        <f>(IF($A$15&gt;synergy,1,0))*(IF($A$3&gt;synergy,1,0))</f>
        <v>0</v>
      </c>
      <c r="E21" s="52"/>
      <c r="G21" s="73"/>
      <c r="H21" s="99" t="s">
        <v>55</v>
      </c>
      <c r="I21" s="84"/>
      <c r="J21" s="74">
        <f>J15</f>
        <v>1</v>
      </c>
      <c r="K21" s="75">
        <f>(2/prodtype)*J21</f>
        <v>2</v>
      </c>
    </row>
    <row r="22" spans="1:11" ht="12" thickBot="1" x14ac:dyDescent="0.25">
      <c r="A22" s="96"/>
      <c r="B22" s="98"/>
      <c r="C22" s="55" t="s">
        <v>313</v>
      </c>
      <c r="D22" s="56">
        <f>SUM(D21)+D20</f>
        <v>0</v>
      </c>
      <c r="E22" s="57">
        <f>D22*(20/prodtype)</f>
        <v>0</v>
      </c>
      <c r="G22" s="51"/>
      <c r="H22" s="97"/>
      <c r="J22" s="47"/>
      <c r="K22" s="69"/>
    </row>
    <row r="23" spans="1:11" ht="12" thickBot="1" x14ac:dyDescent="0.25">
      <c r="C23" s="48"/>
      <c r="D23" s="50"/>
      <c r="E23" s="49"/>
      <c r="G23" s="73"/>
      <c r="H23" s="99" t="s">
        <v>53</v>
      </c>
      <c r="I23" s="84"/>
      <c r="J23" s="74">
        <f>J21</f>
        <v>1</v>
      </c>
      <c r="K23" s="75">
        <f>(2/prodtype)*J23</f>
        <v>2</v>
      </c>
    </row>
    <row r="24" spans="1:11" ht="12" thickBot="1" x14ac:dyDescent="0.25">
      <c r="A24" s="59" t="s">
        <v>314</v>
      </c>
      <c r="B24" s="60" t="s">
        <v>315</v>
      </c>
      <c r="C24" s="61" t="s">
        <v>316</v>
      </c>
      <c r="D24" s="62" t="s">
        <v>317</v>
      </c>
      <c r="E24" s="63" t="s">
        <v>319</v>
      </c>
      <c r="G24" s="54"/>
      <c r="H24" s="98"/>
      <c r="I24" s="86"/>
      <c r="J24" s="72"/>
      <c r="K24" s="83"/>
    </row>
    <row r="25" spans="1:11" x14ac:dyDescent="0.2">
      <c r="A25" s="94">
        <v>0</v>
      </c>
      <c r="B25" s="97" t="s">
        <v>239</v>
      </c>
      <c r="C25" s="64">
        <v>20</v>
      </c>
      <c r="D25" s="65">
        <f>IF((A$25/prodtype)&gt;=C25,1,0)</f>
        <v>0</v>
      </c>
      <c r="E25" s="52"/>
      <c r="J25" s="47"/>
    </row>
    <row r="26" spans="1:11" x14ac:dyDescent="0.2">
      <c r="A26" s="95"/>
      <c r="B26" s="97"/>
      <c r="C26" s="64"/>
      <c r="D26" s="65"/>
      <c r="E26" s="52"/>
      <c r="G26" s="43"/>
      <c r="I26" s="48"/>
      <c r="J26" s="44"/>
    </row>
    <row r="27" spans="1:11" x14ac:dyDescent="0.2">
      <c r="A27" s="95"/>
      <c r="B27" s="97"/>
      <c r="C27" s="66">
        <v>1000</v>
      </c>
      <c r="D27" s="65">
        <f>IF(AND($A$3&gt;=baseprod)*A$25&gt;C27,1,0)</f>
        <v>0</v>
      </c>
      <c r="E27" s="52"/>
    </row>
    <row r="28" spans="1:11" x14ac:dyDescent="0.2">
      <c r="A28" s="95"/>
      <c r="B28" s="97"/>
      <c r="C28" s="66"/>
      <c r="D28" s="65"/>
      <c r="E28" s="52"/>
      <c r="J28" s="47"/>
    </row>
    <row r="29" spans="1:11" x14ac:dyDescent="0.2">
      <c r="A29" s="95"/>
      <c r="B29" s="97"/>
      <c r="C29" s="67">
        <v>8000</v>
      </c>
      <c r="D29" s="65">
        <f>ROUNDDOWN($A$25/C29,0)</f>
        <v>0</v>
      </c>
      <c r="E29" s="52"/>
      <c r="I29" s="48"/>
      <c r="J29" s="49"/>
    </row>
    <row r="30" spans="1:11" x14ac:dyDescent="0.2">
      <c r="A30" s="95"/>
      <c r="B30" s="97"/>
      <c r="C30" s="48" t="s">
        <v>309</v>
      </c>
      <c r="D30" s="50">
        <f>SUM(D25:D29)</f>
        <v>0</v>
      </c>
      <c r="E30" s="53"/>
      <c r="G30" s="43"/>
    </row>
    <row r="31" spans="1:11" x14ac:dyDescent="0.2">
      <c r="A31" s="95"/>
      <c r="B31" s="97"/>
      <c r="C31" s="68" t="s">
        <v>304</v>
      </c>
      <c r="D31" s="65">
        <f>(IF($A$25&gt;synergy,1,0))*(IF($A$3&gt;synergy,1,0))</f>
        <v>0</v>
      </c>
      <c r="E31" s="52"/>
      <c r="J31" s="47"/>
    </row>
    <row r="32" spans="1:11" ht="12" thickBot="1" x14ac:dyDescent="0.25">
      <c r="A32" s="96"/>
      <c r="B32" s="98"/>
      <c r="C32" s="55" t="s">
        <v>313</v>
      </c>
      <c r="D32" s="56">
        <f>SUM(D31)+D30</f>
        <v>0</v>
      </c>
      <c r="E32" s="57">
        <f>D32*(20/prodtype)</f>
        <v>0</v>
      </c>
      <c r="I32" s="48"/>
      <c r="J32" s="49"/>
    </row>
    <row r="33" spans="1:10" ht="12" thickBot="1" x14ac:dyDescent="0.25">
      <c r="C33" s="48"/>
      <c r="D33" s="50"/>
      <c r="E33" s="49"/>
    </row>
    <row r="34" spans="1:10" x14ac:dyDescent="0.2">
      <c r="A34" s="59" t="s">
        <v>314</v>
      </c>
      <c r="B34" s="60" t="s">
        <v>315</v>
      </c>
      <c r="C34" s="61" t="s">
        <v>316</v>
      </c>
      <c r="D34" s="62" t="s">
        <v>317</v>
      </c>
      <c r="E34" s="63" t="s">
        <v>319</v>
      </c>
      <c r="J34" s="47"/>
    </row>
    <row r="35" spans="1:10" x14ac:dyDescent="0.2">
      <c r="A35" s="94">
        <v>0</v>
      </c>
      <c r="B35" s="97" t="s">
        <v>261</v>
      </c>
      <c r="C35" s="64">
        <v>20</v>
      </c>
      <c r="D35" s="65">
        <f>IF((A$35/prodtype)&gt;=C35,1,0)</f>
        <v>0</v>
      </c>
      <c r="E35" s="52"/>
      <c r="I35" s="48"/>
      <c r="J35" s="49"/>
    </row>
    <row r="36" spans="1:10" x14ac:dyDescent="0.2">
      <c r="A36" s="95"/>
      <c r="B36" s="97"/>
      <c r="C36" s="64"/>
      <c r="D36" s="65"/>
      <c r="E36" s="52"/>
    </row>
    <row r="37" spans="1:10" x14ac:dyDescent="0.2">
      <c r="A37" s="95"/>
      <c r="B37" s="97"/>
      <c r="C37" s="66">
        <v>1000</v>
      </c>
      <c r="D37" s="65">
        <f>IF(AND($A$3&gt;=baseprod)*A$35&gt;C37,1,0)</f>
        <v>0</v>
      </c>
      <c r="E37" s="52"/>
    </row>
    <row r="38" spans="1:10" x14ac:dyDescent="0.2">
      <c r="A38" s="95"/>
      <c r="B38" s="97"/>
      <c r="C38" s="66"/>
      <c r="D38" s="65"/>
      <c r="E38" s="52"/>
      <c r="I38" s="48"/>
      <c r="J38" s="49"/>
    </row>
    <row r="39" spans="1:10" x14ac:dyDescent="0.2">
      <c r="A39" s="95"/>
      <c r="B39" s="97"/>
      <c r="C39" s="67">
        <v>8000</v>
      </c>
      <c r="D39" s="65">
        <f>ROUNDDOWN($A$35/C39,0)</f>
        <v>0</v>
      </c>
      <c r="E39" s="52"/>
    </row>
    <row r="40" spans="1:10" x14ac:dyDescent="0.2">
      <c r="A40" s="95"/>
      <c r="B40" s="97"/>
      <c r="C40" s="48" t="s">
        <v>309</v>
      </c>
      <c r="D40" s="50">
        <f>SUM(D35:D39)</f>
        <v>0</v>
      </c>
      <c r="E40" s="53"/>
    </row>
    <row r="41" spans="1:10" x14ac:dyDescent="0.2">
      <c r="A41" s="95"/>
      <c r="B41" s="97"/>
      <c r="C41" s="68" t="s">
        <v>304</v>
      </c>
      <c r="D41" s="65">
        <f>(IF($A$35&gt;synergy,1,0))*(IF($A$3&gt;synergy,1,0))</f>
        <v>0</v>
      </c>
      <c r="E41" s="52"/>
      <c r="I41" s="48"/>
      <c r="J41" s="49"/>
    </row>
    <row r="42" spans="1:10" ht="12" thickBot="1" x14ac:dyDescent="0.25">
      <c r="A42" s="96"/>
      <c r="B42" s="98"/>
      <c r="C42" s="55" t="s">
        <v>313</v>
      </c>
      <c r="D42" s="56">
        <f>SUM(D41)+D40</f>
        <v>0</v>
      </c>
      <c r="E42" s="57">
        <f>D42*(20/prodtype)</f>
        <v>0</v>
      </c>
    </row>
  </sheetData>
  <mergeCells count="16">
    <mergeCell ref="H15:H16"/>
    <mergeCell ref="H19:H20"/>
    <mergeCell ref="H21:H22"/>
    <mergeCell ref="H23:H24"/>
    <mergeCell ref="A3:A12"/>
    <mergeCell ref="B3:B12"/>
    <mergeCell ref="G3:G7"/>
    <mergeCell ref="H3:H7"/>
    <mergeCell ref="G9:G11"/>
    <mergeCell ref="H9:H11"/>
    <mergeCell ref="A25:A32"/>
    <mergeCell ref="B25:B32"/>
    <mergeCell ref="A35:A42"/>
    <mergeCell ref="B35:B42"/>
    <mergeCell ref="A15:A22"/>
    <mergeCell ref="B15:B2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8432E-D4FF-4EF0-8EB0-8BDBD5B54AE0}">
  <dimension ref="A1:O42"/>
  <sheetViews>
    <sheetView workbookViewId="0">
      <selection activeCell="H17" sqref="H17"/>
    </sheetView>
  </sheetViews>
  <sheetFormatPr defaultRowHeight="11.25" x14ac:dyDescent="0.2"/>
  <cols>
    <col min="1" max="1" width="13.28515625" style="44" bestFit="1" customWidth="1"/>
    <col min="2" max="2" width="18.7109375" style="44" customWidth="1"/>
    <col min="3" max="3" width="9.7109375" style="45" customWidth="1"/>
    <col min="4" max="4" width="5.7109375" style="46" customWidth="1"/>
    <col min="5" max="5" width="10.7109375" style="46" customWidth="1"/>
    <col min="6" max="6" width="5.7109375" style="44" customWidth="1"/>
    <col min="7" max="7" width="17.42578125" style="44" bestFit="1" customWidth="1"/>
    <col min="8" max="8" width="18.7109375" style="44" customWidth="1"/>
    <col min="9" max="9" width="9.7109375" style="45" customWidth="1"/>
    <col min="10" max="10" width="5.7109375" style="46" customWidth="1"/>
    <col min="11" max="11" width="10.7109375" style="46" customWidth="1"/>
    <col min="12" max="16384" width="9.140625" style="44"/>
  </cols>
  <sheetData>
    <row r="1" spans="1:15" ht="12" thickBot="1" x14ac:dyDescent="0.25">
      <c r="A1" s="43" t="s">
        <v>323</v>
      </c>
      <c r="G1" s="43" t="s">
        <v>324</v>
      </c>
    </row>
    <row r="2" spans="1:15" x14ac:dyDescent="0.2">
      <c r="A2" s="59" t="s">
        <v>314</v>
      </c>
      <c r="B2" s="60" t="s">
        <v>315</v>
      </c>
      <c r="C2" s="61" t="s">
        <v>316</v>
      </c>
      <c r="D2" s="62" t="s">
        <v>317</v>
      </c>
      <c r="E2" s="63" t="s">
        <v>319</v>
      </c>
      <c r="G2" s="59" t="s">
        <v>322</v>
      </c>
      <c r="H2" s="60" t="s">
        <v>315</v>
      </c>
      <c r="I2" s="61" t="s">
        <v>316</v>
      </c>
      <c r="J2" s="62" t="s">
        <v>317</v>
      </c>
      <c r="K2" s="63" t="s">
        <v>319</v>
      </c>
    </row>
    <row r="3" spans="1:15" x14ac:dyDescent="0.2">
      <c r="A3" s="94">
        <v>20</v>
      </c>
      <c r="B3" s="97" t="s">
        <v>88</v>
      </c>
      <c r="C3" s="64">
        <v>20</v>
      </c>
      <c r="D3" s="65">
        <f>IF((A$3/prodtype)&gt;=C3,1,0)</f>
        <v>1</v>
      </c>
      <c r="E3" s="52"/>
      <c r="G3" s="94">
        <v>0</v>
      </c>
      <c r="H3" s="99" t="s">
        <v>66</v>
      </c>
      <c r="I3" s="64">
        <v>0</v>
      </c>
      <c r="J3" s="71">
        <f>IF($G$3&gt;I3,1,0)</f>
        <v>0</v>
      </c>
      <c r="K3" s="82"/>
    </row>
    <row r="4" spans="1:15" x14ac:dyDescent="0.2">
      <c r="A4" s="95"/>
      <c r="B4" s="97"/>
      <c r="C4" s="64">
        <v>500</v>
      </c>
      <c r="D4" s="65">
        <f>IF(A$3&gt;C4,1,0)</f>
        <v>0</v>
      </c>
      <c r="E4" s="52"/>
      <c r="G4" s="95"/>
      <c r="H4" s="97"/>
      <c r="I4" s="64">
        <f>ensp</f>
        <v>200</v>
      </c>
      <c r="J4" s="71">
        <f t="shared" ref="J4:J6" si="0">IF($G$3&gt;I4,1,0)</f>
        <v>0</v>
      </c>
      <c r="K4" s="82"/>
    </row>
    <row r="5" spans="1:15" x14ac:dyDescent="0.2">
      <c r="A5" s="95"/>
      <c r="B5" s="97"/>
      <c r="C5" s="64">
        <v>1000</v>
      </c>
      <c r="D5" s="65">
        <f t="shared" ref="D5:D7" si="1">IF(A$3&gt;C5,1,0)</f>
        <v>0</v>
      </c>
      <c r="E5" s="52"/>
      <c r="G5" s="95"/>
      <c r="H5" s="97"/>
      <c r="I5" s="64">
        <v>1000</v>
      </c>
      <c r="J5" s="71">
        <f t="shared" si="0"/>
        <v>0</v>
      </c>
      <c r="K5" s="82"/>
    </row>
    <row r="6" spans="1:15" x14ac:dyDescent="0.2">
      <c r="A6" s="95"/>
      <c r="B6" s="97"/>
      <c r="C6" s="64">
        <v>2000</v>
      </c>
      <c r="D6" s="65">
        <f t="shared" si="1"/>
        <v>0</v>
      </c>
      <c r="E6" s="52"/>
      <c r="G6" s="95"/>
      <c r="H6" s="97"/>
      <c r="I6" s="64">
        <v>3000</v>
      </c>
      <c r="J6" s="71">
        <f t="shared" si="0"/>
        <v>0</v>
      </c>
      <c r="K6" s="82"/>
    </row>
    <row r="7" spans="1:15" ht="12" thickBot="1" x14ac:dyDescent="0.25">
      <c r="A7" s="95"/>
      <c r="B7" s="97"/>
      <c r="C7" s="64">
        <v>4000</v>
      </c>
      <c r="D7" s="65">
        <f t="shared" si="1"/>
        <v>0</v>
      </c>
      <c r="E7" s="52"/>
      <c r="G7" s="96"/>
      <c r="H7" s="98"/>
      <c r="I7" s="48" t="s">
        <v>313</v>
      </c>
      <c r="J7" s="49">
        <f>SUM(J3:J6)</f>
        <v>0</v>
      </c>
      <c r="K7" s="53">
        <f>(2/prodtype)*J7*(J15/4)</f>
        <v>0</v>
      </c>
    </row>
    <row r="8" spans="1:15" x14ac:dyDescent="0.2">
      <c r="A8" s="95"/>
      <c r="B8" s="97"/>
      <c r="C8" s="67">
        <v>8000</v>
      </c>
      <c r="D8" s="65">
        <f>ROUNDDOWN($A$3/C8,0)</f>
        <v>0</v>
      </c>
      <c r="E8" s="53"/>
      <c r="G8" s="59" t="s">
        <v>322</v>
      </c>
      <c r="H8" s="60" t="s">
        <v>315</v>
      </c>
      <c r="I8" s="61" t="s">
        <v>316</v>
      </c>
      <c r="J8" s="62" t="s">
        <v>317</v>
      </c>
      <c r="K8" s="63" t="s">
        <v>319</v>
      </c>
    </row>
    <row r="9" spans="1:15" x14ac:dyDescent="0.2">
      <c r="A9" s="95"/>
      <c r="B9" s="97"/>
      <c r="C9" s="48" t="s">
        <v>313</v>
      </c>
      <c r="D9" s="50">
        <f>SUM(D3:D8)</f>
        <v>1</v>
      </c>
      <c r="E9" s="52"/>
      <c r="G9" s="94">
        <v>0</v>
      </c>
      <c r="H9" s="99" t="s">
        <v>4</v>
      </c>
      <c r="I9" s="64">
        <v>0</v>
      </c>
      <c r="J9" s="71">
        <f>IF($G$9&gt;I9,1,0)</f>
        <v>0</v>
      </c>
      <c r="K9" s="82"/>
    </row>
    <row r="10" spans="1:15" x14ac:dyDescent="0.2">
      <c r="A10" s="95"/>
      <c r="B10" s="97"/>
      <c r="C10" s="90"/>
      <c r="D10" s="65"/>
      <c r="E10" s="52"/>
      <c r="G10" s="95"/>
      <c r="H10" s="97"/>
      <c r="I10" s="64">
        <f>commsboost</f>
        <v>200</v>
      </c>
      <c r="J10" s="71">
        <f>IF($G$9&gt;I10,1,0)</f>
        <v>0</v>
      </c>
      <c r="K10" s="82"/>
    </row>
    <row r="11" spans="1:15" ht="12" thickBot="1" x14ac:dyDescent="0.25">
      <c r="A11" s="95"/>
      <c r="B11" s="97"/>
      <c r="C11" s="90"/>
      <c r="D11" s="65"/>
      <c r="E11" s="52"/>
      <c r="G11" s="96"/>
      <c r="H11" s="98"/>
      <c r="I11" s="55" t="s">
        <v>313</v>
      </c>
      <c r="J11" s="70">
        <f>SUM(J9:J10)</f>
        <v>0</v>
      </c>
      <c r="K11" s="88">
        <f>(2/prodtype)*J11</f>
        <v>0</v>
      </c>
    </row>
    <row r="12" spans="1:15" ht="12" thickBot="1" x14ac:dyDescent="0.25">
      <c r="A12" s="96"/>
      <c r="B12" s="98"/>
      <c r="C12" s="55" t="s">
        <v>313</v>
      </c>
      <c r="D12" s="56">
        <f>SUM(D9:D11)+D8</f>
        <v>1</v>
      </c>
      <c r="E12" s="57">
        <f>D12*(20/prodtype)</f>
        <v>20</v>
      </c>
    </row>
    <row r="13" spans="1:15" ht="12" thickBot="1" x14ac:dyDescent="0.25">
      <c r="C13" s="48"/>
      <c r="D13" s="50"/>
      <c r="E13" s="49"/>
      <c r="G13" s="43" t="s">
        <v>325</v>
      </c>
      <c r="J13" s="44"/>
    </row>
    <row r="14" spans="1:15" x14ac:dyDescent="0.2">
      <c r="A14" s="59" t="s">
        <v>314</v>
      </c>
      <c r="B14" s="60" t="s">
        <v>315</v>
      </c>
      <c r="C14" s="61" t="s">
        <v>316</v>
      </c>
      <c r="D14" s="62" t="s">
        <v>317</v>
      </c>
      <c r="E14" s="63" t="s">
        <v>319</v>
      </c>
      <c r="G14" s="59"/>
      <c r="H14" s="60" t="s">
        <v>315</v>
      </c>
      <c r="I14" s="61"/>
      <c r="J14" s="62" t="s">
        <v>317</v>
      </c>
      <c r="K14" s="63" t="s">
        <v>318</v>
      </c>
    </row>
    <row r="15" spans="1:15" x14ac:dyDescent="0.2">
      <c r="A15" s="94"/>
      <c r="B15" s="99"/>
      <c r="C15" s="64"/>
      <c r="D15" s="65"/>
      <c r="E15" s="52"/>
      <c r="G15" s="73"/>
      <c r="H15" s="101" t="s">
        <v>328</v>
      </c>
      <c r="I15" s="84" t="s">
        <v>326</v>
      </c>
      <c r="J15" s="74">
        <f>D12+D22+D32+D42</f>
        <v>1</v>
      </c>
      <c r="K15" s="75">
        <f>(16/prodtype)*J15</f>
        <v>16</v>
      </c>
      <c r="L15" s="79"/>
      <c r="M15" s="79"/>
      <c r="O15" s="87"/>
    </row>
    <row r="16" spans="1:15" x14ac:dyDescent="0.2">
      <c r="A16" s="95"/>
      <c r="B16" s="97"/>
      <c r="C16" s="64"/>
      <c r="D16" s="65"/>
      <c r="E16" s="52"/>
      <c r="G16" s="76"/>
      <c r="H16" s="100"/>
      <c r="I16" s="85" t="s">
        <v>327</v>
      </c>
      <c r="J16" s="77">
        <f>J7+J11</f>
        <v>0</v>
      </c>
      <c r="K16" s="80">
        <f>((4/prodtype)*J16)*(J15/4)</f>
        <v>0</v>
      </c>
      <c r="L16" s="87"/>
    </row>
    <row r="17" spans="1:11" ht="13.5" x14ac:dyDescent="0.2">
      <c r="A17" s="95"/>
      <c r="B17" s="97"/>
      <c r="C17" s="66"/>
      <c r="D17" s="65"/>
      <c r="E17" s="52"/>
      <c r="G17" s="51"/>
      <c r="H17" s="58"/>
      <c r="J17" s="47"/>
      <c r="K17" s="81">
        <f>SUM(K15:K16)</f>
        <v>16</v>
      </c>
    </row>
    <row r="18" spans="1:11" x14ac:dyDescent="0.2">
      <c r="A18" s="95"/>
      <c r="B18" s="97"/>
      <c r="C18" s="66"/>
      <c r="D18" s="65"/>
      <c r="E18" s="52"/>
      <c r="G18" s="51"/>
      <c r="I18" s="48"/>
      <c r="K18" s="82"/>
    </row>
    <row r="19" spans="1:11" x14ac:dyDescent="0.2">
      <c r="A19" s="95"/>
      <c r="B19" s="97"/>
      <c r="C19" s="67"/>
      <c r="D19" s="65"/>
      <c r="E19" s="52"/>
      <c r="G19" s="73"/>
      <c r="H19" s="99" t="s">
        <v>4</v>
      </c>
      <c r="I19" s="84"/>
      <c r="J19" s="74">
        <f>J15</f>
        <v>1</v>
      </c>
      <c r="K19" s="89">
        <f>(2/prodtype)*J7*(J15/4)</f>
        <v>0</v>
      </c>
    </row>
    <row r="20" spans="1:11" x14ac:dyDescent="0.2">
      <c r="A20" s="95"/>
      <c r="B20" s="97"/>
      <c r="C20" s="48"/>
      <c r="D20" s="50"/>
      <c r="E20" s="53"/>
      <c r="G20" s="76"/>
      <c r="H20" s="100"/>
      <c r="I20" s="85"/>
      <c r="J20" s="77"/>
      <c r="K20" s="78"/>
    </row>
    <row r="21" spans="1:11" x14ac:dyDescent="0.2">
      <c r="A21" s="95"/>
      <c r="B21" s="97"/>
      <c r="C21" s="68"/>
      <c r="D21" s="65"/>
      <c r="E21" s="52"/>
      <c r="G21" s="73"/>
      <c r="H21" s="99" t="s">
        <v>55</v>
      </c>
      <c r="I21" s="84"/>
      <c r="J21" s="74">
        <f>J15</f>
        <v>1</v>
      </c>
      <c r="K21" s="75">
        <f>(2/prodtype)*J21</f>
        <v>2</v>
      </c>
    </row>
    <row r="22" spans="1:11" ht="12" thickBot="1" x14ac:dyDescent="0.25">
      <c r="A22" s="96"/>
      <c r="B22" s="98"/>
      <c r="C22" s="55"/>
      <c r="D22" s="56"/>
      <c r="E22" s="57"/>
      <c r="G22" s="51"/>
      <c r="H22" s="97"/>
      <c r="J22" s="47"/>
      <c r="K22" s="69"/>
    </row>
    <row r="23" spans="1:11" ht="12" thickBot="1" x14ac:dyDescent="0.25">
      <c r="C23" s="48"/>
      <c r="D23" s="50"/>
      <c r="E23" s="49"/>
      <c r="G23" s="73"/>
      <c r="H23" s="99" t="s">
        <v>53</v>
      </c>
      <c r="I23" s="84"/>
      <c r="J23" s="74">
        <f>J21</f>
        <v>1</v>
      </c>
      <c r="K23" s="75">
        <f>(2/prodtype)*J23</f>
        <v>2</v>
      </c>
    </row>
    <row r="24" spans="1:11" ht="12" thickBot="1" x14ac:dyDescent="0.25">
      <c r="A24" s="59" t="s">
        <v>314</v>
      </c>
      <c r="B24" s="60" t="s">
        <v>315</v>
      </c>
      <c r="C24" s="61" t="s">
        <v>316</v>
      </c>
      <c r="D24" s="62" t="s">
        <v>317</v>
      </c>
      <c r="E24" s="63" t="s">
        <v>319</v>
      </c>
      <c r="G24" s="54"/>
      <c r="H24" s="98"/>
      <c r="I24" s="86"/>
      <c r="J24" s="72"/>
      <c r="K24" s="83"/>
    </row>
    <row r="25" spans="1:11" x14ac:dyDescent="0.2">
      <c r="A25" s="94"/>
      <c r="B25" s="99"/>
      <c r="C25" s="64"/>
      <c r="D25" s="65"/>
      <c r="E25" s="52"/>
      <c r="J25" s="47"/>
    </row>
    <row r="26" spans="1:11" x14ac:dyDescent="0.2">
      <c r="A26" s="95"/>
      <c r="B26" s="97"/>
      <c r="C26" s="64"/>
      <c r="D26" s="65"/>
      <c r="E26" s="52"/>
      <c r="G26" s="43"/>
      <c r="I26" s="48"/>
      <c r="J26" s="44"/>
    </row>
    <row r="27" spans="1:11" x14ac:dyDescent="0.2">
      <c r="A27" s="95"/>
      <c r="B27" s="97"/>
      <c r="C27" s="66"/>
      <c r="D27" s="65"/>
      <c r="E27" s="52"/>
    </row>
    <row r="28" spans="1:11" x14ac:dyDescent="0.2">
      <c r="A28" s="95"/>
      <c r="B28" s="97"/>
      <c r="C28" s="66"/>
      <c r="D28" s="65"/>
      <c r="E28" s="52"/>
      <c r="J28" s="47"/>
    </row>
    <row r="29" spans="1:11" x14ac:dyDescent="0.2">
      <c r="A29" s="95"/>
      <c r="B29" s="97"/>
      <c r="C29" s="67"/>
      <c r="D29" s="65"/>
      <c r="E29" s="52"/>
      <c r="I29" s="48"/>
      <c r="J29" s="49"/>
    </row>
    <row r="30" spans="1:11" x14ac:dyDescent="0.2">
      <c r="A30" s="95"/>
      <c r="B30" s="97"/>
      <c r="C30" s="48"/>
      <c r="D30" s="50"/>
      <c r="E30" s="53"/>
      <c r="G30" s="43"/>
    </row>
    <row r="31" spans="1:11" x14ac:dyDescent="0.2">
      <c r="A31" s="95"/>
      <c r="B31" s="97"/>
      <c r="C31" s="68"/>
      <c r="D31" s="65"/>
      <c r="E31" s="52"/>
      <c r="J31" s="47"/>
    </row>
    <row r="32" spans="1:11" ht="12" thickBot="1" x14ac:dyDescent="0.25">
      <c r="A32" s="96"/>
      <c r="B32" s="98"/>
      <c r="C32" s="55"/>
      <c r="D32" s="56"/>
      <c r="E32" s="57"/>
      <c r="I32" s="48"/>
      <c r="J32" s="49"/>
    </row>
    <row r="33" spans="1:10" ht="12" thickBot="1" x14ac:dyDescent="0.25">
      <c r="C33" s="48"/>
      <c r="D33" s="50"/>
      <c r="E33" s="49"/>
    </row>
    <row r="34" spans="1:10" x14ac:dyDescent="0.2">
      <c r="A34" s="59" t="s">
        <v>314</v>
      </c>
      <c r="B34" s="60" t="s">
        <v>315</v>
      </c>
      <c r="C34" s="61" t="s">
        <v>316</v>
      </c>
      <c r="D34" s="62" t="s">
        <v>317</v>
      </c>
      <c r="E34" s="63" t="s">
        <v>319</v>
      </c>
      <c r="J34" s="47"/>
    </row>
    <row r="35" spans="1:10" x14ac:dyDescent="0.2">
      <c r="A35" s="94"/>
      <c r="B35" s="99"/>
      <c r="C35" s="64"/>
      <c r="D35" s="65"/>
      <c r="E35" s="52"/>
      <c r="I35" s="48"/>
      <c r="J35" s="49"/>
    </row>
    <row r="36" spans="1:10" x14ac:dyDescent="0.2">
      <c r="A36" s="95"/>
      <c r="B36" s="97"/>
      <c r="C36" s="64"/>
      <c r="D36" s="65"/>
      <c r="E36" s="52"/>
    </row>
    <row r="37" spans="1:10" x14ac:dyDescent="0.2">
      <c r="A37" s="95"/>
      <c r="B37" s="97"/>
      <c r="C37" s="66"/>
      <c r="D37" s="65"/>
      <c r="E37" s="52"/>
    </row>
    <row r="38" spans="1:10" x14ac:dyDescent="0.2">
      <c r="A38" s="95"/>
      <c r="B38" s="97"/>
      <c r="C38" s="66"/>
      <c r="D38" s="65"/>
      <c r="E38" s="52"/>
      <c r="I38" s="48"/>
      <c r="J38" s="49"/>
    </row>
    <row r="39" spans="1:10" x14ac:dyDescent="0.2">
      <c r="A39" s="95"/>
      <c r="B39" s="97"/>
      <c r="C39" s="67"/>
      <c r="D39" s="65"/>
      <c r="E39" s="52"/>
    </row>
    <row r="40" spans="1:10" x14ac:dyDescent="0.2">
      <c r="A40" s="95"/>
      <c r="B40" s="97"/>
      <c r="C40" s="48"/>
      <c r="D40" s="50"/>
      <c r="E40" s="53"/>
    </row>
    <row r="41" spans="1:10" x14ac:dyDescent="0.2">
      <c r="A41" s="95"/>
      <c r="B41" s="97"/>
      <c r="C41" s="68"/>
      <c r="D41" s="65"/>
      <c r="E41" s="52"/>
      <c r="I41" s="48"/>
      <c r="J41" s="49"/>
    </row>
    <row r="42" spans="1:10" ht="12" thickBot="1" x14ac:dyDescent="0.25">
      <c r="A42" s="96"/>
      <c r="B42" s="98"/>
      <c r="C42" s="55"/>
      <c r="D42" s="56"/>
      <c r="E42" s="57"/>
    </row>
  </sheetData>
  <mergeCells count="16">
    <mergeCell ref="H15:H16"/>
    <mergeCell ref="H19:H20"/>
    <mergeCell ref="H21:H22"/>
    <mergeCell ref="H23:H24"/>
    <mergeCell ref="A3:A12"/>
    <mergeCell ref="B3:B12"/>
    <mergeCell ref="G3:G7"/>
    <mergeCell ref="H3:H7"/>
    <mergeCell ref="G9:G11"/>
    <mergeCell ref="H9:H11"/>
    <mergeCell ref="A25:A32"/>
    <mergeCell ref="B25:B32"/>
    <mergeCell ref="A35:A42"/>
    <mergeCell ref="B35:B42"/>
    <mergeCell ref="A15:A22"/>
    <mergeCell ref="B15:B2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CDFF2-5A5C-43DF-80E6-F8EB89B2CAA2}">
  <dimension ref="A1:O42"/>
  <sheetViews>
    <sheetView workbookViewId="0">
      <selection activeCell="D16" sqref="D16"/>
    </sheetView>
  </sheetViews>
  <sheetFormatPr defaultRowHeight="11.25" x14ac:dyDescent="0.2"/>
  <cols>
    <col min="1" max="1" width="13.28515625" style="44" bestFit="1" customWidth="1"/>
    <col min="2" max="2" width="18.7109375" style="44" customWidth="1"/>
    <col min="3" max="3" width="9.7109375" style="45" customWidth="1"/>
    <col min="4" max="4" width="5.7109375" style="46" customWidth="1"/>
    <col min="5" max="5" width="10.7109375" style="46" customWidth="1"/>
    <col min="6" max="6" width="5.7109375" style="44" customWidth="1"/>
    <col min="7" max="7" width="17.42578125" style="44" bestFit="1" customWidth="1"/>
    <col min="8" max="8" width="18.7109375" style="44" customWidth="1"/>
    <col min="9" max="9" width="9.7109375" style="45" customWidth="1"/>
    <col min="10" max="10" width="5.7109375" style="46" customWidth="1"/>
    <col min="11" max="11" width="10.7109375" style="46" customWidth="1"/>
    <col min="12" max="16384" width="9.140625" style="44"/>
  </cols>
  <sheetData>
    <row r="1" spans="1:15" ht="12" thickBot="1" x14ac:dyDescent="0.25">
      <c r="A1" s="43" t="s">
        <v>323</v>
      </c>
      <c r="G1" s="43" t="s">
        <v>324</v>
      </c>
    </row>
    <row r="2" spans="1:15" x14ac:dyDescent="0.2">
      <c r="A2" s="59" t="s">
        <v>314</v>
      </c>
      <c r="B2" s="60" t="s">
        <v>315</v>
      </c>
      <c r="C2" s="61" t="s">
        <v>316</v>
      </c>
      <c r="D2" s="62" t="s">
        <v>317</v>
      </c>
      <c r="E2" s="63" t="s">
        <v>319</v>
      </c>
      <c r="G2" s="59" t="s">
        <v>322</v>
      </c>
      <c r="H2" s="60" t="s">
        <v>315</v>
      </c>
      <c r="I2" s="61" t="s">
        <v>316</v>
      </c>
      <c r="J2" s="62" t="s">
        <v>317</v>
      </c>
      <c r="K2" s="63" t="s">
        <v>319</v>
      </c>
    </row>
    <row r="3" spans="1:15" x14ac:dyDescent="0.2">
      <c r="A3" s="94">
        <v>20</v>
      </c>
      <c r="B3" s="97" t="s">
        <v>12</v>
      </c>
      <c r="C3" s="64">
        <v>20</v>
      </c>
      <c r="D3" s="65">
        <f>IF((A$3/prodtype)&gt;=C3,1,0)</f>
        <v>1</v>
      </c>
      <c r="E3" s="52"/>
      <c r="G3" s="94">
        <v>0</v>
      </c>
      <c r="H3" s="99" t="s">
        <v>66</v>
      </c>
      <c r="I3" s="64">
        <v>0</v>
      </c>
      <c r="J3" s="71">
        <f>IF($G$3&gt;I3,1,0)</f>
        <v>0</v>
      </c>
      <c r="K3" s="82"/>
    </row>
    <row r="4" spans="1:15" x14ac:dyDescent="0.2">
      <c r="A4" s="95"/>
      <c r="B4" s="97"/>
      <c r="C4" s="64">
        <v>500</v>
      </c>
      <c r="D4" s="65">
        <f>IF(A$3&gt;C4,1,0)</f>
        <v>0</v>
      </c>
      <c r="E4" s="52"/>
      <c r="G4" s="95"/>
      <c r="H4" s="97"/>
      <c r="I4" s="64">
        <f>ensp</f>
        <v>200</v>
      </c>
      <c r="J4" s="71">
        <f t="shared" ref="J4:J6" si="0">IF($G$3&gt;I4,1,0)</f>
        <v>0</v>
      </c>
      <c r="K4" s="82"/>
    </row>
    <row r="5" spans="1:15" x14ac:dyDescent="0.2">
      <c r="A5" s="95"/>
      <c r="B5" s="97"/>
      <c r="C5" s="66">
        <v>1000</v>
      </c>
      <c r="D5" s="65">
        <f>IF(AND($A$15&gt;=baseprod)*A$3&gt;C5,1,0)</f>
        <v>0</v>
      </c>
      <c r="E5" s="52"/>
      <c r="G5" s="95"/>
      <c r="H5" s="97"/>
      <c r="I5" s="64">
        <v>1000</v>
      </c>
      <c r="J5" s="71">
        <f t="shared" si="0"/>
        <v>0</v>
      </c>
      <c r="K5" s="82"/>
    </row>
    <row r="6" spans="1:15" x14ac:dyDescent="0.2">
      <c r="A6" s="95"/>
      <c r="B6" s="97"/>
      <c r="C6" s="66">
        <v>2500</v>
      </c>
      <c r="D6" s="65">
        <f>IF(AND($A$15&gt;=baseprod)*A$3&gt;C6,1,0)</f>
        <v>0</v>
      </c>
      <c r="E6" s="52"/>
      <c r="G6" s="95"/>
      <c r="H6" s="97"/>
      <c r="I6" s="64">
        <v>3000</v>
      </c>
      <c r="J6" s="71">
        <f t="shared" si="0"/>
        <v>0</v>
      </c>
      <c r="K6" s="82"/>
    </row>
    <row r="7" spans="1:15" ht="12" thickBot="1" x14ac:dyDescent="0.25">
      <c r="A7" s="95"/>
      <c r="B7" s="97"/>
      <c r="C7" s="67">
        <v>8000</v>
      </c>
      <c r="D7" s="65">
        <f>ROUNDDOWN($A$3/C7,0)</f>
        <v>0</v>
      </c>
      <c r="E7" s="52"/>
      <c r="G7" s="96"/>
      <c r="H7" s="98"/>
      <c r="I7" s="48" t="s">
        <v>313</v>
      </c>
      <c r="J7" s="49">
        <f>SUM(J3:J6)</f>
        <v>0</v>
      </c>
      <c r="K7" s="53">
        <f>(2/prodtype)*J7*(J15/4)</f>
        <v>0</v>
      </c>
    </row>
    <row r="8" spans="1:15" x14ac:dyDescent="0.2">
      <c r="A8" s="95"/>
      <c r="B8" s="97"/>
      <c r="C8" s="48" t="s">
        <v>309</v>
      </c>
      <c r="D8" s="50">
        <f>SUM(D3:D7)</f>
        <v>1</v>
      </c>
      <c r="E8" s="53"/>
      <c r="G8" s="59" t="s">
        <v>322</v>
      </c>
      <c r="H8" s="60" t="s">
        <v>315</v>
      </c>
      <c r="I8" s="61" t="s">
        <v>316</v>
      </c>
      <c r="J8" s="62" t="s">
        <v>317</v>
      </c>
      <c r="K8" s="63" t="s">
        <v>319</v>
      </c>
    </row>
    <row r="9" spans="1:15" x14ac:dyDescent="0.2">
      <c r="A9" s="95"/>
      <c r="B9" s="97"/>
      <c r="C9" s="68" t="s">
        <v>310</v>
      </c>
      <c r="D9" s="65">
        <f>(IF($A$15&gt;synergy,1,0))*(IF($A$3&gt;synergy,1,0))</f>
        <v>0</v>
      </c>
      <c r="E9" s="52"/>
      <c r="G9" s="94">
        <v>0</v>
      </c>
      <c r="H9" s="99" t="s">
        <v>4</v>
      </c>
      <c r="I9" s="64">
        <v>0</v>
      </c>
      <c r="J9" s="71">
        <f>IF($G$9&gt;I9,1,0)</f>
        <v>0</v>
      </c>
      <c r="K9" s="82"/>
    </row>
    <row r="10" spans="1:15" x14ac:dyDescent="0.2">
      <c r="A10" s="95"/>
      <c r="B10" s="97"/>
      <c r="C10" s="68" t="s">
        <v>311</v>
      </c>
      <c r="D10" s="65">
        <f>(IF($A$25&gt;synergy,1,0))*(IF($A$3&gt;synergy,1,0))</f>
        <v>0</v>
      </c>
      <c r="E10" s="52"/>
      <c r="G10" s="95"/>
      <c r="H10" s="97"/>
      <c r="I10" s="64">
        <f>commsboost</f>
        <v>200</v>
      </c>
      <c r="J10" s="71">
        <f>IF($G$9&gt;I10,1,0)</f>
        <v>0</v>
      </c>
      <c r="K10" s="82"/>
    </row>
    <row r="11" spans="1:15" ht="12" thickBot="1" x14ac:dyDescent="0.25">
      <c r="A11" s="95"/>
      <c r="B11" s="97"/>
      <c r="C11" s="68" t="s">
        <v>312</v>
      </c>
      <c r="D11" s="65">
        <f>(IF($A$35&gt;synergy,1,0))*(IF($A$3&gt;synergy,1,0))</f>
        <v>0</v>
      </c>
      <c r="E11" s="52"/>
      <c r="G11" s="96"/>
      <c r="H11" s="98"/>
      <c r="I11" s="55" t="s">
        <v>313</v>
      </c>
      <c r="J11" s="70">
        <f>SUM(J9:J10)</f>
        <v>0</v>
      </c>
      <c r="K11" s="88">
        <f>(2/prodtype)*J11</f>
        <v>0</v>
      </c>
    </row>
    <row r="12" spans="1:15" ht="12" thickBot="1" x14ac:dyDescent="0.25">
      <c r="A12" s="96"/>
      <c r="B12" s="98"/>
      <c r="C12" s="55" t="s">
        <v>313</v>
      </c>
      <c r="D12" s="56">
        <f>SUM(D9:D11)+D8</f>
        <v>1</v>
      </c>
      <c r="E12" s="57">
        <f>D12*(20/prodtype)</f>
        <v>20</v>
      </c>
    </row>
    <row r="13" spans="1:15" ht="12" thickBot="1" x14ac:dyDescent="0.25">
      <c r="C13" s="48"/>
      <c r="D13" s="50"/>
      <c r="E13" s="49"/>
      <c r="G13" s="43" t="s">
        <v>325</v>
      </c>
      <c r="J13" s="44"/>
    </row>
    <row r="14" spans="1:15" x14ac:dyDescent="0.2">
      <c r="A14" s="59" t="s">
        <v>314</v>
      </c>
      <c r="B14" s="60" t="s">
        <v>315</v>
      </c>
      <c r="C14" s="61" t="s">
        <v>316</v>
      </c>
      <c r="D14" s="62" t="s">
        <v>317</v>
      </c>
      <c r="E14" s="63" t="s">
        <v>319</v>
      </c>
      <c r="G14" s="59"/>
      <c r="H14" s="60" t="s">
        <v>315</v>
      </c>
      <c r="I14" s="61"/>
      <c r="J14" s="62" t="s">
        <v>317</v>
      </c>
      <c r="K14" s="63" t="s">
        <v>318</v>
      </c>
    </row>
    <row r="15" spans="1:15" x14ac:dyDescent="0.2">
      <c r="A15" s="94">
        <v>0</v>
      </c>
      <c r="B15" s="97" t="s">
        <v>14</v>
      </c>
      <c r="C15" s="64">
        <v>20</v>
      </c>
      <c r="D15" s="65">
        <f>IF((A$15/prodtype)&gt;=C15,1,0)</f>
        <v>0</v>
      </c>
      <c r="E15" s="52"/>
      <c r="G15" s="73"/>
      <c r="H15" s="99" t="s">
        <v>106</v>
      </c>
      <c r="I15" s="84" t="s">
        <v>326</v>
      </c>
      <c r="J15" s="74">
        <f>D12+D22+D32+D42</f>
        <v>1</v>
      </c>
      <c r="K15" s="75">
        <f>(16/prodtype)*J15</f>
        <v>16</v>
      </c>
      <c r="L15" s="79"/>
      <c r="M15" s="79"/>
      <c r="O15" s="87"/>
    </row>
    <row r="16" spans="1:15" x14ac:dyDescent="0.2">
      <c r="A16" s="95"/>
      <c r="B16" s="97"/>
      <c r="C16" s="64"/>
      <c r="D16" s="65"/>
      <c r="E16" s="52"/>
      <c r="G16" s="76"/>
      <c r="H16" s="100"/>
      <c r="I16" s="85" t="s">
        <v>327</v>
      </c>
      <c r="J16" s="77">
        <f>J7+J11</f>
        <v>0</v>
      </c>
      <c r="K16" s="80">
        <f>((4/prodtype)*J16)*(J15/4)</f>
        <v>0</v>
      </c>
      <c r="L16" s="87"/>
    </row>
    <row r="17" spans="1:11" ht="13.5" x14ac:dyDescent="0.2">
      <c r="A17" s="95"/>
      <c r="B17" s="97"/>
      <c r="C17" s="66">
        <v>1000</v>
      </c>
      <c r="D17" s="65">
        <f>IF(AND($A$3&gt;=baseprod)*A$15&gt;C17,1,0)</f>
        <v>0</v>
      </c>
      <c r="E17" s="52"/>
      <c r="G17" s="51"/>
      <c r="H17" s="58"/>
      <c r="J17" s="47"/>
      <c r="K17" s="81">
        <f>SUM(K15:K16)</f>
        <v>16</v>
      </c>
    </row>
    <row r="18" spans="1:11" x14ac:dyDescent="0.2">
      <c r="A18" s="95"/>
      <c r="B18" s="97"/>
      <c r="C18" s="66"/>
      <c r="D18" s="65"/>
      <c r="E18" s="52"/>
      <c r="G18" s="51"/>
      <c r="I18" s="48"/>
      <c r="K18" s="82"/>
    </row>
    <row r="19" spans="1:11" x14ac:dyDescent="0.2">
      <c r="A19" s="95"/>
      <c r="B19" s="97"/>
      <c r="C19" s="67">
        <v>8000</v>
      </c>
      <c r="D19" s="65">
        <f>ROUNDDOWN($A$15/C19,0)</f>
        <v>0</v>
      </c>
      <c r="E19" s="52"/>
      <c r="G19" s="73"/>
      <c r="H19" s="99" t="s">
        <v>4</v>
      </c>
      <c r="I19" s="84"/>
      <c r="J19" s="74">
        <f>J15</f>
        <v>1</v>
      </c>
      <c r="K19" s="89">
        <f>(2/prodtype)*J7*(J15/4)</f>
        <v>0</v>
      </c>
    </row>
    <row r="20" spans="1:11" x14ac:dyDescent="0.2">
      <c r="A20" s="95"/>
      <c r="B20" s="97"/>
      <c r="C20" s="48" t="s">
        <v>309</v>
      </c>
      <c r="D20" s="50">
        <f>SUM(D15:D19)</f>
        <v>0</v>
      </c>
      <c r="E20" s="53"/>
      <c r="G20" s="76"/>
      <c r="H20" s="100"/>
      <c r="I20" s="85"/>
      <c r="J20" s="77"/>
      <c r="K20" s="78"/>
    </row>
    <row r="21" spans="1:11" x14ac:dyDescent="0.2">
      <c r="A21" s="95"/>
      <c r="B21" s="97"/>
      <c r="C21" s="68" t="s">
        <v>304</v>
      </c>
      <c r="D21" s="65">
        <f>(IF($A$15&gt;synergy,1,0))*(IF($A$3&gt;synergy,1,0))</f>
        <v>0</v>
      </c>
      <c r="E21" s="52"/>
      <c r="G21" s="73"/>
      <c r="H21" s="99" t="s">
        <v>55</v>
      </c>
      <c r="I21" s="84"/>
      <c r="J21" s="74">
        <f>J15</f>
        <v>1</v>
      </c>
      <c r="K21" s="75">
        <f>(2/prodtype)*J21</f>
        <v>2</v>
      </c>
    </row>
    <row r="22" spans="1:11" ht="12" thickBot="1" x14ac:dyDescent="0.25">
      <c r="A22" s="96"/>
      <c r="B22" s="98"/>
      <c r="C22" s="55" t="s">
        <v>313</v>
      </c>
      <c r="D22" s="56">
        <f>SUM(D21)+D20</f>
        <v>0</v>
      </c>
      <c r="E22" s="57">
        <f>D22*(20/prodtype)</f>
        <v>0</v>
      </c>
      <c r="G22" s="51"/>
      <c r="H22" s="97"/>
      <c r="J22" s="47"/>
      <c r="K22" s="69"/>
    </row>
    <row r="23" spans="1:11" ht="12" thickBot="1" x14ac:dyDescent="0.25">
      <c r="C23" s="48"/>
      <c r="D23" s="50"/>
      <c r="E23" s="49"/>
      <c r="G23" s="73"/>
      <c r="H23" s="99" t="s">
        <v>53</v>
      </c>
      <c r="I23" s="84"/>
      <c r="J23" s="74">
        <f>J21</f>
        <v>1</v>
      </c>
      <c r="K23" s="75">
        <f>(2/prodtype)*J23</f>
        <v>2</v>
      </c>
    </row>
    <row r="24" spans="1:11" ht="12" thickBot="1" x14ac:dyDescent="0.25">
      <c r="A24" s="59" t="s">
        <v>314</v>
      </c>
      <c r="B24" s="60" t="s">
        <v>315</v>
      </c>
      <c r="C24" s="61" t="s">
        <v>316</v>
      </c>
      <c r="D24" s="62" t="s">
        <v>317</v>
      </c>
      <c r="E24" s="63" t="s">
        <v>319</v>
      </c>
      <c r="G24" s="54"/>
      <c r="H24" s="98"/>
      <c r="I24" s="86"/>
      <c r="J24" s="72"/>
      <c r="K24" s="83"/>
    </row>
    <row r="25" spans="1:11" x14ac:dyDescent="0.2">
      <c r="A25" s="94"/>
      <c r="B25" s="97"/>
      <c r="C25" s="64">
        <v>20</v>
      </c>
      <c r="D25" s="65">
        <f>IF((A$25/prodtype)&gt;=C25,1,0)</f>
        <v>0</v>
      </c>
      <c r="E25" s="52"/>
      <c r="J25" s="47"/>
    </row>
    <row r="26" spans="1:11" x14ac:dyDescent="0.2">
      <c r="A26" s="95"/>
      <c r="B26" s="97"/>
      <c r="C26" s="64"/>
      <c r="D26" s="65"/>
      <c r="E26" s="52"/>
      <c r="G26" s="43"/>
      <c r="I26" s="48"/>
      <c r="J26" s="44"/>
    </row>
    <row r="27" spans="1:11" x14ac:dyDescent="0.2">
      <c r="A27" s="95"/>
      <c r="B27" s="97"/>
      <c r="C27" s="66">
        <v>1000</v>
      </c>
      <c r="D27" s="65">
        <f>IF(AND($A$3&gt;=baseprod)*A$25&gt;C27,1,0)</f>
        <v>0</v>
      </c>
      <c r="E27" s="52"/>
    </row>
    <row r="28" spans="1:11" x14ac:dyDescent="0.2">
      <c r="A28" s="95"/>
      <c r="B28" s="97"/>
      <c r="C28" s="66"/>
      <c r="D28" s="65"/>
      <c r="E28" s="52"/>
      <c r="J28" s="47"/>
    </row>
    <row r="29" spans="1:11" x14ac:dyDescent="0.2">
      <c r="A29" s="95"/>
      <c r="B29" s="97"/>
      <c r="C29" s="67">
        <v>8000</v>
      </c>
      <c r="D29" s="65">
        <f>ROUNDDOWN($A$25/C29,0)</f>
        <v>0</v>
      </c>
      <c r="E29" s="52"/>
      <c r="I29" s="48"/>
      <c r="J29" s="49"/>
    </row>
    <row r="30" spans="1:11" x14ac:dyDescent="0.2">
      <c r="A30" s="95"/>
      <c r="B30" s="97"/>
      <c r="C30" s="48" t="s">
        <v>309</v>
      </c>
      <c r="D30" s="50">
        <f>SUM(D25:D29)</f>
        <v>0</v>
      </c>
      <c r="E30" s="53"/>
      <c r="G30" s="43"/>
    </row>
    <row r="31" spans="1:11" x14ac:dyDescent="0.2">
      <c r="A31" s="95"/>
      <c r="B31" s="97"/>
      <c r="C31" s="68" t="s">
        <v>304</v>
      </c>
      <c r="D31" s="65">
        <f>(IF($A$25&gt;synergy,1,0))*(IF($A$3&gt;synergy,1,0))</f>
        <v>0</v>
      </c>
      <c r="E31" s="52"/>
      <c r="J31" s="47"/>
    </row>
    <row r="32" spans="1:11" ht="12" thickBot="1" x14ac:dyDescent="0.25">
      <c r="A32" s="96"/>
      <c r="B32" s="98"/>
      <c r="C32" s="55" t="s">
        <v>313</v>
      </c>
      <c r="D32" s="56">
        <f>SUM(D31)+D30</f>
        <v>0</v>
      </c>
      <c r="E32" s="57">
        <f>D32*(20/prodtype)</f>
        <v>0</v>
      </c>
      <c r="I32" s="48"/>
      <c r="J32" s="49"/>
    </row>
    <row r="33" spans="1:10" ht="12" thickBot="1" x14ac:dyDescent="0.25">
      <c r="C33" s="48"/>
      <c r="D33" s="50"/>
      <c r="E33" s="49"/>
    </row>
    <row r="34" spans="1:10" x14ac:dyDescent="0.2">
      <c r="A34" s="59" t="s">
        <v>314</v>
      </c>
      <c r="B34" s="60" t="s">
        <v>315</v>
      </c>
      <c r="C34" s="61" t="s">
        <v>316</v>
      </c>
      <c r="D34" s="62" t="s">
        <v>317</v>
      </c>
      <c r="E34" s="63" t="s">
        <v>319</v>
      </c>
      <c r="J34" s="47"/>
    </row>
    <row r="35" spans="1:10" x14ac:dyDescent="0.2">
      <c r="A35" s="94"/>
      <c r="B35" s="97"/>
      <c r="C35" s="64">
        <v>20</v>
      </c>
      <c r="D35" s="65">
        <f>IF((A$35/prodtype)&gt;=C35,1,0)</f>
        <v>0</v>
      </c>
      <c r="E35" s="52"/>
      <c r="I35" s="48"/>
      <c r="J35" s="49"/>
    </row>
    <row r="36" spans="1:10" x14ac:dyDescent="0.2">
      <c r="A36" s="95"/>
      <c r="B36" s="97"/>
      <c r="C36" s="64"/>
      <c r="D36" s="65"/>
      <c r="E36" s="52"/>
    </row>
    <row r="37" spans="1:10" x14ac:dyDescent="0.2">
      <c r="A37" s="95"/>
      <c r="B37" s="97"/>
      <c r="C37" s="66">
        <v>1000</v>
      </c>
      <c r="D37" s="65">
        <f>IF(AND($A$3&gt;=baseprod)*A$35&gt;C37,1,0)</f>
        <v>0</v>
      </c>
      <c r="E37" s="52"/>
    </row>
    <row r="38" spans="1:10" x14ac:dyDescent="0.2">
      <c r="A38" s="95"/>
      <c r="B38" s="97"/>
      <c r="C38" s="66"/>
      <c r="D38" s="65"/>
      <c r="E38" s="52"/>
      <c r="I38" s="48"/>
      <c r="J38" s="49"/>
    </row>
    <row r="39" spans="1:10" x14ac:dyDescent="0.2">
      <c r="A39" s="95"/>
      <c r="B39" s="97"/>
      <c r="C39" s="67">
        <v>8000</v>
      </c>
      <c r="D39" s="65">
        <f>ROUNDDOWN($A$35/C39,0)</f>
        <v>0</v>
      </c>
      <c r="E39" s="52"/>
    </row>
    <row r="40" spans="1:10" x14ac:dyDescent="0.2">
      <c r="A40" s="95"/>
      <c r="B40" s="97"/>
      <c r="C40" s="48" t="s">
        <v>309</v>
      </c>
      <c r="D40" s="50">
        <f>SUM(D35:D39)</f>
        <v>0</v>
      </c>
      <c r="E40" s="53"/>
    </row>
    <row r="41" spans="1:10" x14ac:dyDescent="0.2">
      <c r="A41" s="95"/>
      <c r="B41" s="97"/>
      <c r="C41" s="68" t="s">
        <v>304</v>
      </c>
      <c r="D41" s="65">
        <f>(IF($A$35&gt;synergy,1,0))*(IF($A$3&gt;synergy,1,0))</f>
        <v>0</v>
      </c>
      <c r="E41" s="52"/>
      <c r="I41" s="48"/>
      <c r="J41" s="49"/>
    </row>
    <row r="42" spans="1:10" ht="12" thickBot="1" x14ac:dyDescent="0.25">
      <c r="A42" s="96"/>
      <c r="B42" s="98"/>
      <c r="C42" s="55" t="s">
        <v>313</v>
      </c>
      <c r="D42" s="56">
        <f>SUM(D41)+D40</f>
        <v>0</v>
      </c>
      <c r="E42" s="57">
        <f>D42*(20/prodtype)</f>
        <v>0</v>
      </c>
    </row>
  </sheetData>
  <mergeCells count="16">
    <mergeCell ref="H15:H16"/>
    <mergeCell ref="H19:H20"/>
    <mergeCell ref="H21:H22"/>
    <mergeCell ref="H23:H24"/>
    <mergeCell ref="A3:A12"/>
    <mergeCell ref="B3:B12"/>
    <mergeCell ref="G3:G7"/>
    <mergeCell ref="H3:H7"/>
    <mergeCell ref="G9:G11"/>
    <mergeCell ref="H9:H11"/>
    <mergeCell ref="A25:A32"/>
    <mergeCell ref="B25:B32"/>
    <mergeCell ref="A35:A42"/>
    <mergeCell ref="B35:B42"/>
    <mergeCell ref="A15:A22"/>
    <mergeCell ref="B15:B2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6F662-DAA6-4ACC-B164-56BE14EAF184}">
  <dimension ref="A1:O42"/>
  <sheetViews>
    <sheetView workbookViewId="0">
      <selection activeCell="D16" sqref="D16"/>
    </sheetView>
  </sheetViews>
  <sheetFormatPr defaultRowHeight="11.25" x14ac:dyDescent="0.2"/>
  <cols>
    <col min="1" max="1" width="13.28515625" style="44" bestFit="1" customWidth="1"/>
    <col min="2" max="2" width="18.7109375" style="44" customWidth="1"/>
    <col min="3" max="3" width="9.7109375" style="45" customWidth="1"/>
    <col min="4" max="4" width="5.7109375" style="46" customWidth="1"/>
    <col min="5" max="5" width="10.7109375" style="46" customWidth="1"/>
    <col min="6" max="6" width="5.7109375" style="44" customWidth="1"/>
    <col min="7" max="7" width="17.42578125" style="44" bestFit="1" customWidth="1"/>
    <col min="8" max="8" width="18.7109375" style="44" customWidth="1"/>
    <col min="9" max="9" width="9.7109375" style="45" customWidth="1"/>
    <col min="10" max="10" width="5.7109375" style="46" customWidth="1"/>
    <col min="11" max="11" width="10.7109375" style="46" customWidth="1"/>
    <col min="12" max="16384" width="9.140625" style="44"/>
  </cols>
  <sheetData>
    <row r="1" spans="1:15" ht="12" thickBot="1" x14ac:dyDescent="0.25">
      <c r="A1" s="43" t="s">
        <v>323</v>
      </c>
      <c r="G1" s="43" t="s">
        <v>324</v>
      </c>
    </row>
    <row r="2" spans="1:15" x14ac:dyDescent="0.2">
      <c r="A2" s="59" t="s">
        <v>314</v>
      </c>
      <c r="B2" s="60" t="s">
        <v>315</v>
      </c>
      <c r="C2" s="61" t="s">
        <v>316</v>
      </c>
      <c r="D2" s="62" t="s">
        <v>317</v>
      </c>
      <c r="E2" s="63" t="s">
        <v>319</v>
      </c>
      <c r="G2" s="59" t="s">
        <v>322</v>
      </c>
      <c r="H2" s="60" t="s">
        <v>315</v>
      </c>
      <c r="I2" s="61" t="s">
        <v>316</v>
      </c>
      <c r="J2" s="62" t="s">
        <v>317</v>
      </c>
      <c r="K2" s="63" t="s">
        <v>319</v>
      </c>
    </row>
    <row r="3" spans="1:15" x14ac:dyDescent="0.2">
      <c r="A3" s="94">
        <v>20</v>
      </c>
      <c r="B3" s="97" t="s">
        <v>213</v>
      </c>
      <c r="C3" s="64">
        <v>20</v>
      </c>
      <c r="D3" s="65">
        <f>IF((A$3/prodtype)&gt;=C3,1,0)</f>
        <v>1</v>
      </c>
      <c r="E3" s="52"/>
      <c r="G3" s="94">
        <v>0</v>
      </c>
      <c r="H3" s="99" t="s">
        <v>66</v>
      </c>
      <c r="I3" s="64">
        <v>0</v>
      </c>
      <c r="J3" s="71">
        <f>IF($G$3&gt;I3,1,0)</f>
        <v>0</v>
      </c>
      <c r="K3" s="82"/>
    </row>
    <row r="4" spans="1:15" x14ac:dyDescent="0.2">
      <c r="A4" s="95"/>
      <c r="B4" s="97"/>
      <c r="C4" s="64">
        <v>500</v>
      </c>
      <c r="D4" s="65">
        <f>IF(A$3&gt;C4,1,0)</f>
        <v>0</v>
      </c>
      <c r="E4" s="52"/>
      <c r="G4" s="95"/>
      <c r="H4" s="97"/>
      <c r="I4" s="64">
        <f>ensp</f>
        <v>200</v>
      </c>
      <c r="J4" s="71">
        <f t="shared" ref="J4:J6" si="0">IF($G$3&gt;I4,1,0)</f>
        <v>0</v>
      </c>
      <c r="K4" s="82"/>
    </row>
    <row r="5" spans="1:15" x14ac:dyDescent="0.2">
      <c r="A5" s="95"/>
      <c r="B5" s="97"/>
      <c r="C5" s="66">
        <v>1000</v>
      </c>
      <c r="D5" s="65">
        <f>IF(AND($A$15&gt;=baseprod)*A$3&gt;C5,1,0)</f>
        <v>0</v>
      </c>
      <c r="E5" s="52"/>
      <c r="G5" s="95"/>
      <c r="H5" s="97"/>
      <c r="I5" s="64">
        <v>1000</v>
      </c>
      <c r="J5" s="71">
        <f t="shared" si="0"/>
        <v>0</v>
      </c>
      <c r="K5" s="82"/>
    </row>
    <row r="6" spans="1:15" x14ac:dyDescent="0.2">
      <c r="A6" s="95"/>
      <c r="B6" s="97"/>
      <c r="C6" s="66">
        <v>2500</v>
      </c>
      <c r="D6" s="65">
        <f>IF(AND($A$15&gt;=baseprod)*A$3&gt;C6,1,0)</f>
        <v>0</v>
      </c>
      <c r="E6" s="52"/>
      <c r="G6" s="95"/>
      <c r="H6" s="97"/>
      <c r="I6" s="64">
        <v>3000</v>
      </c>
      <c r="J6" s="71">
        <f t="shared" si="0"/>
        <v>0</v>
      </c>
      <c r="K6" s="82"/>
    </row>
    <row r="7" spans="1:15" ht="12" thickBot="1" x14ac:dyDescent="0.25">
      <c r="A7" s="95"/>
      <c r="B7" s="97"/>
      <c r="C7" s="67">
        <v>8000</v>
      </c>
      <c r="D7" s="65">
        <f>ROUNDDOWN($A$3/C7,0)</f>
        <v>0</v>
      </c>
      <c r="E7" s="52"/>
      <c r="G7" s="96"/>
      <c r="H7" s="98"/>
      <c r="I7" s="48" t="s">
        <v>313</v>
      </c>
      <c r="J7" s="49">
        <f>SUM(J3:J6)</f>
        <v>0</v>
      </c>
      <c r="K7" s="53">
        <f>(2/prodtype)*J7*(J15/4)</f>
        <v>0</v>
      </c>
    </row>
    <row r="8" spans="1:15" x14ac:dyDescent="0.2">
      <c r="A8" s="95"/>
      <c r="B8" s="97"/>
      <c r="C8" s="48" t="s">
        <v>309</v>
      </c>
      <c r="D8" s="50">
        <f>SUM(D3:D7)</f>
        <v>1</v>
      </c>
      <c r="E8" s="53"/>
      <c r="G8" s="59" t="s">
        <v>322</v>
      </c>
      <c r="H8" s="60" t="s">
        <v>315</v>
      </c>
      <c r="I8" s="61" t="s">
        <v>316</v>
      </c>
      <c r="J8" s="62" t="s">
        <v>317</v>
      </c>
      <c r="K8" s="63" t="s">
        <v>319</v>
      </c>
    </row>
    <row r="9" spans="1:15" x14ac:dyDescent="0.2">
      <c r="A9" s="95"/>
      <c r="B9" s="97"/>
      <c r="C9" s="68" t="s">
        <v>310</v>
      </c>
      <c r="D9" s="65">
        <f>(IF($A$15&gt;synergy,1,0))*(IF($A$3&gt;synergy,1,0))</f>
        <v>0</v>
      </c>
      <c r="E9" s="52"/>
      <c r="G9" s="94">
        <v>0</v>
      </c>
      <c r="H9" s="99" t="s">
        <v>4</v>
      </c>
      <c r="I9" s="64">
        <v>0</v>
      </c>
      <c r="J9" s="71">
        <f>IF($G$9&gt;I9,1,0)</f>
        <v>0</v>
      </c>
      <c r="K9" s="82"/>
    </row>
    <row r="10" spans="1:15" x14ac:dyDescent="0.2">
      <c r="A10" s="95"/>
      <c r="B10" s="97"/>
      <c r="C10" s="68" t="s">
        <v>311</v>
      </c>
      <c r="D10" s="65">
        <f>(IF($A$25&gt;synergy,1,0))*(IF($A$3&gt;synergy,1,0))</f>
        <v>0</v>
      </c>
      <c r="E10" s="52"/>
      <c r="G10" s="95"/>
      <c r="H10" s="97"/>
      <c r="I10" s="64">
        <f>commsboost</f>
        <v>200</v>
      </c>
      <c r="J10" s="71">
        <f>IF($G$9&gt;I10,1,0)</f>
        <v>0</v>
      </c>
      <c r="K10" s="82"/>
    </row>
    <row r="11" spans="1:15" ht="12" thickBot="1" x14ac:dyDescent="0.25">
      <c r="A11" s="95"/>
      <c r="B11" s="97"/>
      <c r="C11" s="68" t="s">
        <v>312</v>
      </c>
      <c r="D11" s="65">
        <f>(IF($A$35&gt;synergy,1,0))*(IF($A$3&gt;synergy,1,0))</f>
        <v>0</v>
      </c>
      <c r="E11" s="52"/>
      <c r="G11" s="96"/>
      <c r="H11" s="98"/>
      <c r="I11" s="55" t="s">
        <v>313</v>
      </c>
      <c r="J11" s="70">
        <f>SUM(J9:J10)</f>
        <v>0</v>
      </c>
      <c r="K11" s="88">
        <f>(2/prodtype)*J11</f>
        <v>0</v>
      </c>
    </row>
    <row r="12" spans="1:15" ht="12" thickBot="1" x14ac:dyDescent="0.25">
      <c r="A12" s="96"/>
      <c r="B12" s="98"/>
      <c r="C12" s="55" t="s">
        <v>313</v>
      </c>
      <c r="D12" s="56">
        <f>SUM(D9:D11)+D8</f>
        <v>1</v>
      </c>
      <c r="E12" s="57">
        <f>D12*(20/prodtype)</f>
        <v>20</v>
      </c>
    </row>
    <row r="13" spans="1:15" ht="12" thickBot="1" x14ac:dyDescent="0.25">
      <c r="C13" s="48"/>
      <c r="D13" s="50"/>
      <c r="E13" s="49"/>
      <c r="G13" s="43" t="s">
        <v>325</v>
      </c>
      <c r="J13" s="44"/>
    </row>
    <row r="14" spans="1:15" x14ac:dyDescent="0.2">
      <c r="A14" s="59" t="s">
        <v>314</v>
      </c>
      <c r="B14" s="60" t="s">
        <v>315</v>
      </c>
      <c r="C14" s="61" t="s">
        <v>316</v>
      </c>
      <c r="D14" s="62" t="s">
        <v>317</v>
      </c>
      <c r="E14" s="63" t="s">
        <v>319</v>
      </c>
      <c r="G14" s="59"/>
      <c r="H14" s="60" t="s">
        <v>315</v>
      </c>
      <c r="I14" s="61"/>
      <c r="J14" s="62" t="s">
        <v>317</v>
      </c>
      <c r="K14" s="63" t="s">
        <v>318</v>
      </c>
    </row>
    <row r="15" spans="1:15" x14ac:dyDescent="0.2">
      <c r="A15" s="94">
        <v>0</v>
      </c>
      <c r="B15" s="97" t="s">
        <v>14</v>
      </c>
      <c r="C15" s="64">
        <v>20</v>
      </c>
      <c r="D15" s="65">
        <f>IF((A$15/prodtype)&gt;=C15,1,0)</f>
        <v>0</v>
      </c>
      <c r="E15" s="52"/>
      <c r="G15" s="73"/>
      <c r="H15" s="99" t="s">
        <v>127</v>
      </c>
      <c r="I15" s="84" t="s">
        <v>326</v>
      </c>
      <c r="J15" s="74">
        <f>D12+D22+D32+D42</f>
        <v>1</v>
      </c>
      <c r="K15" s="75">
        <f>(16/prodtype)*J15</f>
        <v>16</v>
      </c>
      <c r="L15" s="79"/>
      <c r="M15" s="79"/>
      <c r="O15" s="87"/>
    </row>
    <row r="16" spans="1:15" x14ac:dyDescent="0.2">
      <c r="A16" s="95"/>
      <c r="B16" s="97"/>
      <c r="C16" s="64"/>
      <c r="D16" s="65"/>
      <c r="E16" s="52"/>
      <c r="G16" s="76"/>
      <c r="H16" s="100"/>
      <c r="I16" s="85" t="s">
        <v>327</v>
      </c>
      <c r="J16" s="77">
        <f>J7+J11</f>
        <v>0</v>
      </c>
      <c r="K16" s="80">
        <f>((4/prodtype)*J16)*(J15/4)</f>
        <v>0</v>
      </c>
      <c r="L16" s="87"/>
    </row>
    <row r="17" spans="1:11" ht="13.5" x14ac:dyDescent="0.2">
      <c r="A17" s="95"/>
      <c r="B17" s="97"/>
      <c r="C17" s="66">
        <v>1000</v>
      </c>
      <c r="D17" s="65">
        <f>IF(AND($A$3&gt;=baseprod)*A$15&gt;C17,1,0)</f>
        <v>0</v>
      </c>
      <c r="E17" s="52"/>
      <c r="G17" s="51"/>
      <c r="H17" s="58"/>
      <c r="J17" s="47"/>
      <c r="K17" s="81">
        <f>SUM(K15:K16)</f>
        <v>16</v>
      </c>
    </row>
    <row r="18" spans="1:11" x14ac:dyDescent="0.2">
      <c r="A18" s="95"/>
      <c r="B18" s="97"/>
      <c r="C18" s="66"/>
      <c r="D18" s="65"/>
      <c r="E18" s="52"/>
      <c r="G18" s="51"/>
      <c r="I18" s="48"/>
      <c r="K18" s="82"/>
    </row>
    <row r="19" spans="1:11" x14ac:dyDescent="0.2">
      <c r="A19" s="95"/>
      <c r="B19" s="97"/>
      <c r="C19" s="67">
        <v>8000</v>
      </c>
      <c r="D19" s="65">
        <f>ROUNDDOWN($A$15/C19,0)</f>
        <v>0</v>
      </c>
      <c r="E19" s="52"/>
      <c r="G19" s="73"/>
      <c r="H19" s="99" t="s">
        <v>4</v>
      </c>
      <c r="I19" s="84"/>
      <c r="J19" s="74">
        <f>J15</f>
        <v>1</v>
      </c>
      <c r="K19" s="89">
        <f>(2/prodtype)*J7*(J15/4)</f>
        <v>0</v>
      </c>
    </row>
    <row r="20" spans="1:11" x14ac:dyDescent="0.2">
      <c r="A20" s="95"/>
      <c r="B20" s="97"/>
      <c r="C20" s="48" t="s">
        <v>309</v>
      </c>
      <c r="D20" s="50">
        <f>SUM(D15:D19)</f>
        <v>0</v>
      </c>
      <c r="E20" s="53"/>
      <c r="G20" s="76"/>
      <c r="H20" s="100"/>
      <c r="I20" s="85"/>
      <c r="J20" s="77"/>
      <c r="K20" s="78"/>
    </row>
    <row r="21" spans="1:11" x14ac:dyDescent="0.2">
      <c r="A21" s="95"/>
      <c r="B21" s="97"/>
      <c r="C21" s="68" t="s">
        <v>304</v>
      </c>
      <c r="D21" s="65">
        <f>(IF($A$15&gt;synergy,1,0))*(IF($A$3&gt;synergy,1,0))</f>
        <v>0</v>
      </c>
      <c r="E21" s="52"/>
      <c r="G21" s="73"/>
      <c r="H21" s="99" t="s">
        <v>55</v>
      </c>
      <c r="I21" s="84"/>
      <c r="J21" s="74">
        <f>J15</f>
        <v>1</v>
      </c>
      <c r="K21" s="75">
        <f>(2/prodtype)*J21</f>
        <v>2</v>
      </c>
    </row>
    <row r="22" spans="1:11" ht="12" thickBot="1" x14ac:dyDescent="0.25">
      <c r="A22" s="96"/>
      <c r="B22" s="98"/>
      <c r="C22" s="55" t="s">
        <v>313</v>
      </c>
      <c r="D22" s="56">
        <f>SUM(D21)+D20</f>
        <v>0</v>
      </c>
      <c r="E22" s="57">
        <f>D22*(20/prodtype)</f>
        <v>0</v>
      </c>
      <c r="G22" s="51"/>
      <c r="H22" s="97"/>
      <c r="J22" s="47"/>
      <c r="K22" s="69"/>
    </row>
    <row r="23" spans="1:11" ht="12" thickBot="1" x14ac:dyDescent="0.25">
      <c r="C23" s="48"/>
      <c r="D23" s="50"/>
      <c r="E23" s="49"/>
      <c r="G23" s="73"/>
      <c r="H23" s="99" t="s">
        <v>53</v>
      </c>
      <c r="I23" s="84"/>
      <c r="J23" s="74">
        <f>J21</f>
        <v>1</v>
      </c>
      <c r="K23" s="75">
        <f>(2/prodtype)*J23</f>
        <v>2</v>
      </c>
    </row>
    <row r="24" spans="1:11" ht="12" thickBot="1" x14ac:dyDescent="0.25">
      <c r="A24" s="59" t="s">
        <v>314</v>
      </c>
      <c r="B24" s="60" t="s">
        <v>315</v>
      </c>
      <c r="C24" s="61" t="s">
        <v>316</v>
      </c>
      <c r="D24" s="62" t="s">
        <v>317</v>
      </c>
      <c r="E24" s="63" t="s">
        <v>319</v>
      </c>
      <c r="G24" s="54"/>
      <c r="H24" s="98"/>
      <c r="I24" s="86"/>
      <c r="J24" s="72"/>
      <c r="K24" s="83"/>
    </row>
    <row r="25" spans="1:11" x14ac:dyDescent="0.2">
      <c r="A25" s="94"/>
      <c r="B25" s="97"/>
      <c r="C25" s="64">
        <v>20</v>
      </c>
      <c r="D25" s="65">
        <f>IF((A$25/prodtype)&gt;=C25,1,0)</f>
        <v>0</v>
      </c>
      <c r="E25" s="52"/>
      <c r="J25" s="47"/>
    </row>
    <row r="26" spans="1:11" x14ac:dyDescent="0.2">
      <c r="A26" s="95"/>
      <c r="B26" s="97"/>
      <c r="C26" s="64"/>
      <c r="D26" s="65"/>
      <c r="E26" s="52"/>
      <c r="G26" s="43"/>
      <c r="I26" s="48"/>
      <c r="J26" s="44"/>
    </row>
    <row r="27" spans="1:11" x14ac:dyDescent="0.2">
      <c r="A27" s="95"/>
      <c r="B27" s="97"/>
      <c r="C27" s="66">
        <v>1000</v>
      </c>
      <c r="D27" s="65">
        <f>IF(AND($A$3&gt;=baseprod)*A$25&gt;C27,1,0)</f>
        <v>0</v>
      </c>
      <c r="E27" s="52"/>
    </row>
    <row r="28" spans="1:11" x14ac:dyDescent="0.2">
      <c r="A28" s="95"/>
      <c r="B28" s="97"/>
      <c r="C28" s="66"/>
      <c r="D28" s="65"/>
      <c r="E28" s="52"/>
      <c r="J28" s="47"/>
    </row>
    <row r="29" spans="1:11" x14ac:dyDescent="0.2">
      <c r="A29" s="95"/>
      <c r="B29" s="97"/>
      <c r="C29" s="67">
        <v>8000</v>
      </c>
      <c r="D29" s="65">
        <f>ROUNDDOWN($A$25/C29,0)</f>
        <v>0</v>
      </c>
      <c r="E29" s="52"/>
      <c r="I29" s="48"/>
      <c r="J29" s="49"/>
    </row>
    <row r="30" spans="1:11" x14ac:dyDescent="0.2">
      <c r="A30" s="95"/>
      <c r="B30" s="97"/>
      <c r="C30" s="48" t="s">
        <v>309</v>
      </c>
      <c r="D30" s="50">
        <f>SUM(D25:D29)</f>
        <v>0</v>
      </c>
      <c r="E30" s="53"/>
      <c r="G30" s="43"/>
    </row>
    <row r="31" spans="1:11" x14ac:dyDescent="0.2">
      <c r="A31" s="95"/>
      <c r="B31" s="97"/>
      <c r="C31" s="68" t="s">
        <v>304</v>
      </c>
      <c r="D31" s="65">
        <f>(IF($A$25&gt;synergy,1,0))*(IF($A$3&gt;synergy,1,0))</f>
        <v>0</v>
      </c>
      <c r="E31" s="52"/>
      <c r="J31" s="47"/>
    </row>
    <row r="32" spans="1:11" ht="12" thickBot="1" x14ac:dyDescent="0.25">
      <c r="A32" s="96"/>
      <c r="B32" s="98"/>
      <c r="C32" s="55" t="s">
        <v>313</v>
      </c>
      <c r="D32" s="56">
        <f>SUM(D31)+D30</f>
        <v>0</v>
      </c>
      <c r="E32" s="57">
        <f>D32*(20/prodtype)</f>
        <v>0</v>
      </c>
      <c r="I32" s="48"/>
      <c r="J32" s="49"/>
    </row>
    <row r="33" spans="1:10" ht="12" thickBot="1" x14ac:dyDescent="0.25">
      <c r="C33" s="48"/>
      <c r="D33" s="50"/>
      <c r="E33" s="49"/>
    </row>
    <row r="34" spans="1:10" x14ac:dyDescent="0.2">
      <c r="A34" s="59" t="s">
        <v>314</v>
      </c>
      <c r="B34" s="60" t="s">
        <v>315</v>
      </c>
      <c r="C34" s="61" t="s">
        <v>316</v>
      </c>
      <c r="D34" s="62" t="s">
        <v>317</v>
      </c>
      <c r="E34" s="63" t="s">
        <v>319</v>
      </c>
      <c r="J34" s="47"/>
    </row>
    <row r="35" spans="1:10" x14ac:dyDescent="0.2">
      <c r="A35" s="94"/>
      <c r="B35" s="97"/>
      <c r="C35" s="64">
        <v>20</v>
      </c>
      <c r="D35" s="65">
        <f>IF((A$35/prodtype)&gt;=C35,1,0)</f>
        <v>0</v>
      </c>
      <c r="E35" s="52"/>
      <c r="I35" s="48"/>
      <c r="J35" s="49"/>
    </row>
    <row r="36" spans="1:10" x14ac:dyDescent="0.2">
      <c r="A36" s="95"/>
      <c r="B36" s="97"/>
      <c r="C36" s="64"/>
      <c r="D36" s="65"/>
      <c r="E36" s="52"/>
    </row>
    <row r="37" spans="1:10" x14ac:dyDescent="0.2">
      <c r="A37" s="95"/>
      <c r="B37" s="97"/>
      <c r="C37" s="66">
        <v>1000</v>
      </c>
      <c r="D37" s="65">
        <f>IF(AND($A$3&gt;=baseprod)*A$35&gt;C37,1,0)</f>
        <v>0</v>
      </c>
      <c r="E37" s="52"/>
    </row>
    <row r="38" spans="1:10" x14ac:dyDescent="0.2">
      <c r="A38" s="95"/>
      <c r="B38" s="97"/>
      <c r="C38" s="66"/>
      <c r="D38" s="65"/>
      <c r="E38" s="52"/>
      <c r="I38" s="48"/>
      <c r="J38" s="49"/>
    </row>
    <row r="39" spans="1:10" x14ac:dyDescent="0.2">
      <c r="A39" s="95"/>
      <c r="B39" s="97"/>
      <c r="C39" s="67">
        <v>8000</v>
      </c>
      <c r="D39" s="65">
        <f>ROUNDDOWN($A$35/C39,0)</f>
        <v>0</v>
      </c>
      <c r="E39" s="52"/>
    </row>
    <row r="40" spans="1:10" x14ac:dyDescent="0.2">
      <c r="A40" s="95"/>
      <c r="B40" s="97"/>
      <c r="C40" s="48" t="s">
        <v>309</v>
      </c>
      <c r="D40" s="50">
        <f>SUM(D35:D39)</f>
        <v>0</v>
      </c>
      <c r="E40" s="53"/>
    </row>
    <row r="41" spans="1:10" x14ac:dyDescent="0.2">
      <c r="A41" s="95"/>
      <c r="B41" s="97"/>
      <c r="C41" s="68" t="s">
        <v>304</v>
      </c>
      <c r="D41" s="65">
        <f>(IF($A$35&gt;synergy,1,0))*(IF($A$3&gt;synergy,1,0))</f>
        <v>0</v>
      </c>
      <c r="E41" s="52"/>
      <c r="I41" s="48"/>
      <c r="J41" s="49"/>
    </row>
    <row r="42" spans="1:10" ht="12" thickBot="1" x14ac:dyDescent="0.25">
      <c r="A42" s="96"/>
      <c r="B42" s="98"/>
      <c r="C42" s="55" t="s">
        <v>313</v>
      </c>
      <c r="D42" s="56">
        <f>SUM(D41)+D40</f>
        <v>0</v>
      </c>
      <c r="E42" s="57">
        <f>D42*(20/prodtype)</f>
        <v>0</v>
      </c>
    </row>
  </sheetData>
  <mergeCells count="16">
    <mergeCell ref="H15:H16"/>
    <mergeCell ref="H19:H20"/>
    <mergeCell ref="H21:H22"/>
    <mergeCell ref="H23:H24"/>
    <mergeCell ref="A3:A12"/>
    <mergeCell ref="B3:B12"/>
    <mergeCell ref="G3:G7"/>
    <mergeCell ref="H3:H7"/>
    <mergeCell ref="G9:G11"/>
    <mergeCell ref="H9:H11"/>
    <mergeCell ref="A25:A32"/>
    <mergeCell ref="B25:B32"/>
    <mergeCell ref="A35:A42"/>
    <mergeCell ref="B35:B42"/>
    <mergeCell ref="A15:A22"/>
    <mergeCell ref="B15:B2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5B7ED-308A-46C3-BC5C-F6152959E97F}">
  <dimension ref="A1:O42"/>
  <sheetViews>
    <sheetView workbookViewId="0">
      <selection activeCell="A43" sqref="A43"/>
    </sheetView>
  </sheetViews>
  <sheetFormatPr defaultRowHeight="11.25" x14ac:dyDescent="0.2"/>
  <cols>
    <col min="1" max="1" width="13.28515625" style="44" bestFit="1" customWidth="1"/>
    <col min="2" max="2" width="18.7109375" style="44" customWidth="1"/>
    <col min="3" max="3" width="9.7109375" style="45" customWidth="1"/>
    <col min="4" max="4" width="5.7109375" style="46" customWidth="1"/>
    <col min="5" max="5" width="10.7109375" style="46" customWidth="1"/>
    <col min="6" max="6" width="5.7109375" style="44" customWidth="1"/>
    <col min="7" max="7" width="17.42578125" style="44" bestFit="1" customWidth="1"/>
    <col min="8" max="8" width="18.7109375" style="44" customWidth="1"/>
    <col min="9" max="9" width="9.7109375" style="45" customWidth="1"/>
    <col min="10" max="10" width="5.7109375" style="46" customWidth="1"/>
    <col min="11" max="11" width="10.7109375" style="46" customWidth="1"/>
    <col min="12" max="16384" width="9.140625" style="44"/>
  </cols>
  <sheetData>
    <row r="1" spans="1:15" ht="12" thickBot="1" x14ac:dyDescent="0.25">
      <c r="A1" s="43" t="s">
        <v>323</v>
      </c>
      <c r="G1" s="43" t="s">
        <v>324</v>
      </c>
    </row>
    <row r="2" spans="1:15" x14ac:dyDescent="0.2">
      <c r="A2" s="59" t="s">
        <v>314</v>
      </c>
      <c r="B2" s="60" t="s">
        <v>315</v>
      </c>
      <c r="C2" s="61" t="s">
        <v>316</v>
      </c>
      <c r="D2" s="62" t="s">
        <v>317</v>
      </c>
      <c r="E2" s="63" t="s">
        <v>319</v>
      </c>
      <c r="G2" s="59" t="s">
        <v>322</v>
      </c>
      <c r="H2" s="60" t="s">
        <v>315</v>
      </c>
      <c r="I2" s="61" t="s">
        <v>316</v>
      </c>
      <c r="J2" s="62" t="s">
        <v>317</v>
      </c>
      <c r="K2" s="63" t="s">
        <v>319</v>
      </c>
    </row>
    <row r="3" spans="1:15" x14ac:dyDescent="0.2">
      <c r="A3" s="94">
        <v>2403</v>
      </c>
      <c r="B3" s="97" t="s">
        <v>15</v>
      </c>
      <c r="C3" s="64">
        <v>20</v>
      </c>
      <c r="D3" s="65">
        <f>IF((A$3/prodtype)&gt;=C3,1,0)</f>
        <v>1</v>
      </c>
      <c r="E3" s="52"/>
      <c r="G3" s="94">
        <v>0</v>
      </c>
      <c r="H3" s="99" t="s">
        <v>66</v>
      </c>
      <c r="I3" s="64">
        <v>0</v>
      </c>
      <c r="J3" s="71">
        <f>IF($G$3&gt;I3,1,0)</f>
        <v>0</v>
      </c>
      <c r="K3" s="82"/>
    </row>
    <row r="4" spans="1:15" x14ac:dyDescent="0.2">
      <c r="A4" s="95"/>
      <c r="B4" s="97"/>
      <c r="C4" s="64">
        <v>500</v>
      </c>
      <c r="D4" s="65">
        <f>IF(A$3&gt;C4,1,0)</f>
        <v>1</v>
      </c>
      <c r="E4" s="52"/>
      <c r="G4" s="95"/>
      <c r="H4" s="97"/>
      <c r="I4" s="64">
        <f>ensp</f>
        <v>200</v>
      </c>
      <c r="J4" s="71">
        <f t="shared" ref="J4:J6" si="0">IF($G$3&gt;I4,1,0)</f>
        <v>0</v>
      </c>
      <c r="K4" s="82"/>
    </row>
    <row r="5" spans="1:15" x14ac:dyDescent="0.2">
      <c r="A5" s="95"/>
      <c r="B5" s="97"/>
      <c r="C5" s="66">
        <v>1000</v>
      </c>
      <c r="D5" s="65">
        <f>IF(AND($A$15&gt;=baseprod)*A$3&gt;C5,1,0)</f>
        <v>1</v>
      </c>
      <c r="E5" s="52"/>
      <c r="G5" s="95"/>
      <c r="H5" s="97"/>
      <c r="I5" s="64">
        <v>1000</v>
      </c>
      <c r="J5" s="71">
        <f t="shared" si="0"/>
        <v>0</v>
      </c>
      <c r="K5" s="82"/>
    </row>
    <row r="6" spans="1:15" x14ac:dyDescent="0.2">
      <c r="A6" s="95"/>
      <c r="B6" s="97"/>
      <c r="C6" s="66">
        <v>2500</v>
      </c>
      <c r="D6" s="65">
        <f>IF(AND($A$15&gt;=baseprod)*A$3&gt;C6,1,0)</f>
        <v>0</v>
      </c>
      <c r="E6" s="52"/>
      <c r="G6" s="95"/>
      <c r="H6" s="97"/>
      <c r="I6" s="64">
        <v>3000</v>
      </c>
      <c r="J6" s="71">
        <f t="shared" si="0"/>
        <v>0</v>
      </c>
      <c r="K6" s="82"/>
    </row>
    <row r="7" spans="1:15" ht="12" thickBot="1" x14ac:dyDescent="0.25">
      <c r="A7" s="95"/>
      <c r="B7" s="97"/>
      <c r="C7" s="67">
        <v>8000</v>
      </c>
      <c r="D7" s="65">
        <f>ROUNDDOWN($A$3/C7,0)</f>
        <v>0</v>
      </c>
      <c r="E7" s="52"/>
      <c r="G7" s="96"/>
      <c r="H7" s="98"/>
      <c r="I7" s="48" t="s">
        <v>313</v>
      </c>
      <c r="J7" s="49">
        <f>SUM(J3:J6)</f>
        <v>0</v>
      </c>
      <c r="K7" s="53">
        <f>(2/prodtype)*J7*(J15/4)</f>
        <v>0</v>
      </c>
    </row>
    <row r="8" spans="1:15" x14ac:dyDescent="0.2">
      <c r="A8" s="95"/>
      <c r="B8" s="97"/>
      <c r="C8" s="48" t="s">
        <v>309</v>
      </c>
      <c r="D8" s="50">
        <f>SUM(D3:D7)</f>
        <v>3</v>
      </c>
      <c r="E8" s="53"/>
      <c r="G8" s="59" t="s">
        <v>322</v>
      </c>
      <c r="H8" s="60" t="s">
        <v>315</v>
      </c>
      <c r="I8" s="61" t="s">
        <v>316</v>
      </c>
      <c r="J8" s="62" t="s">
        <v>317</v>
      </c>
      <c r="K8" s="63" t="s">
        <v>319</v>
      </c>
    </row>
    <row r="9" spans="1:15" x14ac:dyDescent="0.2">
      <c r="A9" s="95"/>
      <c r="B9" s="97"/>
      <c r="C9" s="68" t="s">
        <v>310</v>
      </c>
      <c r="D9" s="65">
        <f>(IF($A$15&gt;synergy,1,0))*(IF($A$3&gt;synergy,1,0))</f>
        <v>1</v>
      </c>
      <c r="E9" s="52"/>
      <c r="G9" s="94">
        <v>0</v>
      </c>
      <c r="H9" s="99" t="s">
        <v>4</v>
      </c>
      <c r="I9" s="64">
        <v>0</v>
      </c>
      <c r="J9" s="71">
        <f>IF($G$9&gt;I9,1,0)</f>
        <v>0</v>
      </c>
      <c r="K9" s="82"/>
    </row>
    <row r="10" spans="1:15" x14ac:dyDescent="0.2">
      <c r="A10" s="95"/>
      <c r="B10" s="97"/>
      <c r="C10" s="68" t="s">
        <v>311</v>
      </c>
      <c r="D10" s="65">
        <f>(IF($A$25&gt;synergy,1,0))*(IF($A$3&gt;synergy,1,0))</f>
        <v>1</v>
      </c>
      <c r="E10" s="52"/>
      <c r="G10" s="95"/>
      <c r="H10" s="97"/>
      <c r="I10" s="64">
        <f>commsboost</f>
        <v>200</v>
      </c>
      <c r="J10" s="71">
        <f>IF($G$9&gt;I10,1,0)</f>
        <v>0</v>
      </c>
      <c r="K10" s="82"/>
    </row>
    <row r="11" spans="1:15" ht="12" thickBot="1" x14ac:dyDescent="0.25">
      <c r="A11" s="95"/>
      <c r="B11" s="97"/>
      <c r="C11" s="68" t="s">
        <v>312</v>
      </c>
      <c r="D11" s="65"/>
      <c r="E11" s="52"/>
      <c r="G11" s="96"/>
      <c r="H11" s="98"/>
      <c r="I11" s="55" t="s">
        <v>313</v>
      </c>
      <c r="J11" s="70">
        <f>SUM(J9:J10)</f>
        <v>0</v>
      </c>
      <c r="K11" s="88">
        <f>(2/prodtype)*J11</f>
        <v>0</v>
      </c>
    </row>
    <row r="12" spans="1:15" ht="12" thickBot="1" x14ac:dyDescent="0.25">
      <c r="A12" s="96"/>
      <c r="B12" s="98"/>
      <c r="C12" s="55" t="s">
        <v>313</v>
      </c>
      <c r="D12" s="56">
        <f>SUM(D9:D11)+D8</f>
        <v>5</v>
      </c>
      <c r="E12" s="57">
        <f>D12*(20/prodtype)</f>
        <v>100</v>
      </c>
    </row>
    <row r="13" spans="1:15" ht="12" thickBot="1" x14ac:dyDescent="0.25">
      <c r="C13" s="48"/>
      <c r="D13" s="50"/>
      <c r="E13" s="49"/>
      <c r="G13" s="43" t="s">
        <v>325</v>
      </c>
      <c r="J13" s="44"/>
    </row>
    <row r="14" spans="1:15" x14ac:dyDescent="0.2">
      <c r="A14" s="59" t="s">
        <v>314</v>
      </c>
      <c r="B14" s="60" t="s">
        <v>315</v>
      </c>
      <c r="C14" s="61" t="s">
        <v>316</v>
      </c>
      <c r="D14" s="62" t="s">
        <v>317</v>
      </c>
      <c r="E14" s="63" t="s">
        <v>319</v>
      </c>
      <c r="G14" s="59"/>
      <c r="H14" s="60" t="s">
        <v>315</v>
      </c>
      <c r="I14" s="61"/>
      <c r="J14" s="62" t="s">
        <v>317</v>
      </c>
      <c r="K14" s="63" t="s">
        <v>318</v>
      </c>
    </row>
    <row r="15" spans="1:15" x14ac:dyDescent="0.2">
      <c r="A15" s="94">
        <v>2503</v>
      </c>
      <c r="B15" s="97" t="s">
        <v>14</v>
      </c>
      <c r="C15" s="64">
        <v>20</v>
      </c>
      <c r="D15" s="65">
        <f>IF((A$15/prodtype)&gt;=C15,1,0)</f>
        <v>1</v>
      </c>
      <c r="E15" s="52"/>
      <c r="G15" s="73"/>
      <c r="H15" s="99" t="s">
        <v>101</v>
      </c>
      <c r="I15" s="84" t="s">
        <v>326</v>
      </c>
      <c r="J15" s="74">
        <f>D12+D22+D32+D42</f>
        <v>14</v>
      </c>
      <c r="K15" s="75">
        <f>(16/prodtype)*J15</f>
        <v>224</v>
      </c>
      <c r="L15" s="79"/>
      <c r="M15" s="79"/>
      <c r="O15" s="87"/>
    </row>
    <row r="16" spans="1:15" x14ac:dyDescent="0.2">
      <c r="A16" s="95"/>
      <c r="B16" s="97"/>
      <c r="C16" s="64">
        <v>800</v>
      </c>
      <c r="D16" s="65">
        <f>IF(A$15&gt;C16,1,0)</f>
        <v>1</v>
      </c>
      <c r="E16" s="52"/>
      <c r="G16" s="76"/>
      <c r="H16" s="100"/>
      <c r="I16" s="85" t="s">
        <v>327</v>
      </c>
      <c r="J16" s="77">
        <f>J7+J11</f>
        <v>0</v>
      </c>
      <c r="K16" s="80">
        <f>((4/prodtype)*J16)*(J15/4)</f>
        <v>0</v>
      </c>
      <c r="L16" s="87"/>
    </row>
    <row r="17" spans="1:11" ht="13.5" x14ac:dyDescent="0.2">
      <c r="A17" s="95"/>
      <c r="B17" s="97"/>
      <c r="C17" s="66">
        <v>1500</v>
      </c>
      <c r="D17" s="65">
        <f>IF(AND($A$3&gt;=baseprod)*A$15&gt;C17,1,0)</f>
        <v>1</v>
      </c>
      <c r="E17" s="52"/>
      <c r="G17" s="51"/>
      <c r="H17" s="58"/>
      <c r="J17" s="47"/>
      <c r="K17" s="81">
        <f>SUM(K15:K16)</f>
        <v>224</v>
      </c>
    </row>
    <row r="18" spans="1:11" x14ac:dyDescent="0.2">
      <c r="A18" s="95"/>
      <c r="B18" s="97"/>
      <c r="C18" s="66"/>
      <c r="D18" s="65"/>
      <c r="E18" s="52"/>
      <c r="G18" s="51"/>
      <c r="I18" s="48"/>
      <c r="K18" s="82"/>
    </row>
    <row r="19" spans="1:11" x14ac:dyDescent="0.2">
      <c r="A19" s="95"/>
      <c r="B19" s="97"/>
      <c r="C19" s="67">
        <v>8000</v>
      </c>
      <c r="D19" s="65">
        <f>ROUNDDOWN($A$15/C19,0)</f>
        <v>0</v>
      </c>
      <c r="E19" s="52"/>
      <c r="G19" s="73"/>
      <c r="H19" s="99" t="s">
        <v>4</v>
      </c>
      <c r="I19" s="84"/>
      <c r="J19" s="74">
        <f>J15</f>
        <v>14</v>
      </c>
      <c r="K19" s="89">
        <f>(2/prodtype)*J7*(J15/4)</f>
        <v>0</v>
      </c>
    </row>
    <row r="20" spans="1:11" x14ac:dyDescent="0.2">
      <c r="A20" s="95"/>
      <c r="B20" s="97"/>
      <c r="C20" s="48" t="s">
        <v>309</v>
      </c>
      <c r="D20" s="50">
        <f>SUM(D15:D19)</f>
        <v>3</v>
      </c>
      <c r="E20" s="53"/>
      <c r="G20" s="76"/>
      <c r="H20" s="100"/>
      <c r="I20" s="85"/>
      <c r="J20" s="77"/>
      <c r="K20" s="78"/>
    </row>
    <row r="21" spans="1:11" x14ac:dyDescent="0.2">
      <c r="A21" s="95"/>
      <c r="B21" s="97"/>
      <c r="C21" s="68" t="s">
        <v>304</v>
      </c>
      <c r="D21" s="65">
        <f>(IF($A$15&gt;synergy,1,0))*(IF($A$3&gt;synergy,1,0))</f>
        <v>1</v>
      </c>
      <c r="E21" s="52"/>
      <c r="G21" s="73"/>
      <c r="H21" s="99" t="s">
        <v>55</v>
      </c>
      <c r="I21" s="84"/>
      <c r="J21" s="74">
        <f>J15</f>
        <v>14</v>
      </c>
      <c r="K21" s="75">
        <f>(2/prodtype)*J21</f>
        <v>28</v>
      </c>
    </row>
    <row r="22" spans="1:11" ht="12" thickBot="1" x14ac:dyDescent="0.25">
      <c r="A22" s="96"/>
      <c r="B22" s="98"/>
      <c r="C22" s="55" t="s">
        <v>313</v>
      </c>
      <c r="D22" s="56">
        <f>SUM(D21)+D20</f>
        <v>4</v>
      </c>
      <c r="E22" s="57">
        <f>D22*(20/prodtype)</f>
        <v>80</v>
      </c>
      <c r="G22" s="51"/>
      <c r="H22" s="97"/>
      <c r="J22" s="47"/>
      <c r="K22" s="69"/>
    </row>
    <row r="23" spans="1:11" ht="12" thickBot="1" x14ac:dyDescent="0.25">
      <c r="C23" s="48"/>
      <c r="D23" s="50"/>
      <c r="E23" s="49"/>
      <c r="G23" s="73"/>
      <c r="H23" s="99" t="s">
        <v>53</v>
      </c>
      <c r="I23" s="84"/>
      <c r="J23" s="74">
        <f>J21</f>
        <v>14</v>
      </c>
      <c r="K23" s="75">
        <f>(2/prodtype)*J23</f>
        <v>28</v>
      </c>
    </row>
    <row r="24" spans="1:11" ht="12" thickBot="1" x14ac:dyDescent="0.25">
      <c r="A24" s="59" t="s">
        <v>314</v>
      </c>
      <c r="B24" s="60" t="s">
        <v>315</v>
      </c>
      <c r="C24" s="61" t="s">
        <v>316</v>
      </c>
      <c r="D24" s="62" t="s">
        <v>317</v>
      </c>
      <c r="E24" s="63" t="s">
        <v>319</v>
      </c>
      <c r="G24" s="54"/>
      <c r="H24" s="98"/>
      <c r="I24" s="86"/>
      <c r="J24" s="72"/>
      <c r="K24" s="83"/>
    </row>
    <row r="25" spans="1:11" x14ac:dyDescent="0.2">
      <c r="A25" s="94">
        <v>2700</v>
      </c>
      <c r="B25" s="97" t="s">
        <v>240</v>
      </c>
      <c r="C25" s="64">
        <v>20</v>
      </c>
      <c r="D25" s="65">
        <f>IF((A$25/prodtype)&gt;=C25,1,0)</f>
        <v>1</v>
      </c>
      <c r="E25" s="52"/>
      <c r="J25" s="47"/>
    </row>
    <row r="26" spans="1:11" x14ac:dyDescent="0.2">
      <c r="A26" s="95"/>
      <c r="B26" s="97"/>
      <c r="C26" s="64"/>
      <c r="D26" s="65"/>
      <c r="E26" s="52"/>
      <c r="G26" s="43"/>
      <c r="I26" s="48"/>
      <c r="J26" s="44"/>
    </row>
    <row r="27" spans="1:11" x14ac:dyDescent="0.2">
      <c r="A27" s="95"/>
      <c r="B27" s="97"/>
      <c r="C27" s="66">
        <v>1000</v>
      </c>
      <c r="D27" s="65">
        <f>IF(AND($A$3&gt;=baseprod)*A$25&gt;C27,1,0)</f>
        <v>1</v>
      </c>
      <c r="E27" s="52"/>
    </row>
    <row r="28" spans="1:11" x14ac:dyDescent="0.2">
      <c r="A28" s="95"/>
      <c r="B28" s="97"/>
      <c r="C28" s="66"/>
      <c r="D28" s="65"/>
      <c r="E28" s="52"/>
      <c r="J28" s="47"/>
    </row>
    <row r="29" spans="1:11" x14ac:dyDescent="0.2">
      <c r="A29" s="95"/>
      <c r="B29" s="97"/>
      <c r="C29" s="67">
        <v>8000</v>
      </c>
      <c r="D29" s="65">
        <f>ROUNDDOWN($A$25/C29,0)</f>
        <v>0</v>
      </c>
      <c r="E29" s="52"/>
      <c r="I29" s="48"/>
      <c r="J29" s="49"/>
    </row>
    <row r="30" spans="1:11" x14ac:dyDescent="0.2">
      <c r="A30" s="95"/>
      <c r="B30" s="97"/>
      <c r="C30" s="48" t="s">
        <v>309</v>
      </c>
      <c r="D30" s="50">
        <f>SUM(D25:D29)</f>
        <v>2</v>
      </c>
      <c r="E30" s="53"/>
      <c r="G30" s="43"/>
    </row>
    <row r="31" spans="1:11" x14ac:dyDescent="0.2">
      <c r="A31" s="95"/>
      <c r="B31" s="97"/>
      <c r="C31" s="68" t="s">
        <v>304</v>
      </c>
      <c r="D31" s="65">
        <f>(IF($A$25&gt;synergy,1,0))*(IF($A$3&gt;synergy,1,0))</f>
        <v>1</v>
      </c>
      <c r="E31" s="52"/>
      <c r="J31" s="47"/>
    </row>
    <row r="32" spans="1:11" ht="12" thickBot="1" x14ac:dyDescent="0.25">
      <c r="A32" s="96"/>
      <c r="B32" s="98"/>
      <c r="C32" s="55" t="s">
        <v>313</v>
      </c>
      <c r="D32" s="56">
        <f>SUM(D31)+D30</f>
        <v>3</v>
      </c>
      <c r="E32" s="57">
        <f>D32*(20/prodtype)</f>
        <v>60</v>
      </c>
      <c r="I32" s="48"/>
      <c r="J32" s="49"/>
    </row>
    <row r="33" spans="1:10" ht="12" thickBot="1" x14ac:dyDescent="0.25">
      <c r="C33" s="48"/>
      <c r="D33" s="50"/>
      <c r="E33" s="49"/>
    </row>
    <row r="34" spans="1:10" x14ac:dyDescent="0.2">
      <c r="A34" s="59" t="s">
        <v>314</v>
      </c>
      <c r="B34" s="60" t="s">
        <v>315</v>
      </c>
      <c r="C34" s="61" t="s">
        <v>316</v>
      </c>
      <c r="D34" s="62" t="s">
        <v>317</v>
      </c>
      <c r="E34" s="63" t="s">
        <v>319</v>
      </c>
      <c r="J34" s="47"/>
    </row>
    <row r="35" spans="1:10" x14ac:dyDescent="0.2">
      <c r="A35" s="94">
        <v>721</v>
      </c>
      <c r="B35" s="97" t="s">
        <v>127</v>
      </c>
      <c r="C35" s="64">
        <v>20</v>
      </c>
      <c r="D35" s="65">
        <f>IF((A$35/prodtype)&gt;=C35,1,0)</f>
        <v>1</v>
      </c>
      <c r="E35" s="52"/>
      <c r="I35" s="48"/>
      <c r="J35" s="49"/>
    </row>
    <row r="36" spans="1:10" x14ac:dyDescent="0.2">
      <c r="A36" s="95"/>
      <c r="B36" s="97"/>
      <c r="C36" s="64"/>
      <c r="D36" s="65"/>
      <c r="E36" s="52"/>
    </row>
    <row r="37" spans="1:10" x14ac:dyDescent="0.2">
      <c r="A37" s="95"/>
      <c r="B37" s="97"/>
      <c r="C37" s="66">
        <v>1000</v>
      </c>
      <c r="D37" s="65">
        <f>IF(AND($A$3&gt;=baseprod)*A$35&gt;C37,1,0)</f>
        <v>0</v>
      </c>
      <c r="E37" s="52"/>
    </row>
    <row r="38" spans="1:10" x14ac:dyDescent="0.2">
      <c r="A38" s="95"/>
      <c r="B38" s="97"/>
      <c r="C38" s="66"/>
      <c r="D38" s="65"/>
      <c r="E38" s="52"/>
      <c r="I38" s="48"/>
      <c r="J38" s="49"/>
    </row>
    <row r="39" spans="1:10" x14ac:dyDescent="0.2">
      <c r="A39" s="95"/>
      <c r="B39" s="97"/>
      <c r="C39" s="67">
        <v>8000</v>
      </c>
      <c r="D39" s="65">
        <f>ROUNDDOWN($A$35/C39,0)</f>
        <v>0</v>
      </c>
      <c r="E39" s="52"/>
    </row>
    <row r="40" spans="1:10" x14ac:dyDescent="0.2">
      <c r="A40" s="95"/>
      <c r="B40" s="97"/>
      <c r="C40" s="48" t="s">
        <v>309</v>
      </c>
      <c r="D40" s="50">
        <f>SUM(D35:D39)</f>
        <v>1</v>
      </c>
      <c r="E40" s="53"/>
    </row>
    <row r="41" spans="1:10" x14ac:dyDescent="0.2">
      <c r="A41" s="95"/>
      <c r="B41" s="97"/>
      <c r="C41" s="68" t="s">
        <v>304</v>
      </c>
      <c r="D41" s="65">
        <f>(IF($A$35&gt;synergy,1,0))*(IF($A$3&gt;synergy,1,0))</f>
        <v>1</v>
      </c>
      <c r="E41" s="52"/>
      <c r="I41" s="48"/>
      <c r="J41" s="49"/>
    </row>
    <row r="42" spans="1:10" ht="12" thickBot="1" x14ac:dyDescent="0.25">
      <c r="A42" s="96"/>
      <c r="B42" s="98"/>
      <c r="C42" s="55" t="s">
        <v>313</v>
      </c>
      <c r="D42" s="56">
        <f>SUM(D41)+D40</f>
        <v>2</v>
      </c>
      <c r="E42" s="57">
        <f>D42*(20/prodtype)</f>
        <v>40</v>
      </c>
    </row>
  </sheetData>
  <mergeCells count="16">
    <mergeCell ref="B3:B12"/>
    <mergeCell ref="B15:B22"/>
    <mergeCell ref="B25:B32"/>
    <mergeCell ref="B35:B42"/>
    <mergeCell ref="A3:A12"/>
    <mergeCell ref="A15:A22"/>
    <mergeCell ref="A25:A32"/>
    <mergeCell ref="A35:A42"/>
    <mergeCell ref="H21:H22"/>
    <mergeCell ref="H23:H24"/>
    <mergeCell ref="H3:H7"/>
    <mergeCell ref="H9:H11"/>
    <mergeCell ref="G3:G7"/>
    <mergeCell ref="G9:G11"/>
    <mergeCell ref="H15:H16"/>
    <mergeCell ref="H19:H2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3B9B0-100D-4DB4-971C-5EDD2C66BF8A}">
  <dimension ref="A1:O42"/>
  <sheetViews>
    <sheetView workbookViewId="0">
      <selection activeCell="D6" sqref="D6"/>
    </sheetView>
  </sheetViews>
  <sheetFormatPr defaultRowHeight="11.25" x14ac:dyDescent="0.2"/>
  <cols>
    <col min="1" max="1" width="13.28515625" style="44" bestFit="1" customWidth="1"/>
    <col min="2" max="2" width="18.7109375" style="44" customWidth="1"/>
    <col min="3" max="3" width="9.7109375" style="45" customWidth="1"/>
    <col min="4" max="4" width="5.7109375" style="46" customWidth="1"/>
    <col min="5" max="5" width="10.7109375" style="46" customWidth="1"/>
    <col min="6" max="6" width="5.7109375" style="44" customWidth="1"/>
    <col min="7" max="7" width="17.42578125" style="44" bestFit="1" customWidth="1"/>
    <col min="8" max="8" width="18.7109375" style="44" customWidth="1"/>
    <col min="9" max="9" width="9.7109375" style="45" customWidth="1"/>
    <col min="10" max="10" width="5.7109375" style="46" customWidth="1"/>
    <col min="11" max="11" width="10.7109375" style="46" customWidth="1"/>
    <col min="12" max="16384" width="9.140625" style="44"/>
  </cols>
  <sheetData>
    <row r="1" spans="1:15" ht="12" thickBot="1" x14ac:dyDescent="0.25">
      <c r="A1" s="43" t="s">
        <v>323</v>
      </c>
      <c r="G1" s="43" t="s">
        <v>324</v>
      </c>
    </row>
    <row r="2" spans="1:15" x14ac:dyDescent="0.2">
      <c r="A2" s="59" t="s">
        <v>314</v>
      </c>
      <c r="B2" s="60" t="s">
        <v>315</v>
      </c>
      <c r="C2" s="61" t="s">
        <v>316</v>
      </c>
      <c r="D2" s="62" t="s">
        <v>317</v>
      </c>
      <c r="E2" s="63" t="s">
        <v>319</v>
      </c>
      <c r="G2" s="59" t="s">
        <v>322</v>
      </c>
      <c r="H2" s="60" t="s">
        <v>315</v>
      </c>
      <c r="I2" s="61" t="s">
        <v>316</v>
      </c>
      <c r="J2" s="62" t="s">
        <v>317</v>
      </c>
      <c r="K2" s="63" t="s">
        <v>319</v>
      </c>
    </row>
    <row r="3" spans="1:15" x14ac:dyDescent="0.2">
      <c r="A3" s="94">
        <v>20</v>
      </c>
      <c r="B3" s="97" t="s">
        <v>16</v>
      </c>
      <c r="C3" s="64">
        <v>20</v>
      </c>
      <c r="D3" s="65">
        <f>IF((A$3/prodtype)&gt;=C3,1,0)</f>
        <v>1</v>
      </c>
      <c r="E3" s="52"/>
      <c r="G3" s="94">
        <v>0</v>
      </c>
      <c r="H3" s="99" t="s">
        <v>66</v>
      </c>
      <c r="I3" s="64">
        <v>0</v>
      </c>
      <c r="J3" s="71">
        <f>IF($G$3&gt;I3,1,0)</f>
        <v>0</v>
      </c>
      <c r="K3" s="82"/>
    </row>
    <row r="4" spans="1:15" x14ac:dyDescent="0.2">
      <c r="A4" s="95"/>
      <c r="B4" s="97"/>
      <c r="C4" s="64">
        <v>500</v>
      </c>
      <c r="D4" s="65">
        <f>IF(A$3&gt;C4,1,0)</f>
        <v>0</v>
      </c>
      <c r="E4" s="52"/>
      <c r="G4" s="95"/>
      <c r="H4" s="97"/>
      <c r="I4" s="64">
        <f>ensp</f>
        <v>200</v>
      </c>
      <c r="J4" s="71">
        <f t="shared" ref="J4:J6" si="0">IF($G$3&gt;I4,1,0)</f>
        <v>0</v>
      </c>
      <c r="K4" s="82"/>
    </row>
    <row r="5" spans="1:15" x14ac:dyDescent="0.2">
      <c r="A5" s="95"/>
      <c r="B5" s="97"/>
      <c r="C5" s="66">
        <v>3000</v>
      </c>
      <c r="D5" s="65">
        <f>IF(AND($A$15&gt;=baseprod)*A$3&gt;C5,1,0)</f>
        <v>0</v>
      </c>
      <c r="E5" s="52"/>
      <c r="G5" s="95"/>
      <c r="H5" s="97"/>
      <c r="I5" s="64">
        <v>1000</v>
      </c>
      <c r="J5" s="71">
        <f t="shared" si="0"/>
        <v>0</v>
      </c>
      <c r="K5" s="82"/>
    </row>
    <row r="6" spans="1:15" x14ac:dyDescent="0.2">
      <c r="A6" s="95"/>
      <c r="B6" s="97"/>
      <c r="C6" s="66"/>
      <c r="D6" s="65"/>
      <c r="E6" s="52"/>
      <c r="G6" s="95"/>
      <c r="H6" s="97"/>
      <c r="I6" s="64">
        <v>3000</v>
      </c>
      <c r="J6" s="71">
        <f t="shared" si="0"/>
        <v>0</v>
      </c>
      <c r="K6" s="82"/>
    </row>
    <row r="7" spans="1:15" ht="12" thickBot="1" x14ac:dyDescent="0.25">
      <c r="A7" s="95"/>
      <c r="B7" s="97"/>
      <c r="C7" s="67">
        <v>8000</v>
      </c>
      <c r="D7" s="65">
        <f>ROUNDDOWN($A$3/C7,0)</f>
        <v>0</v>
      </c>
      <c r="E7" s="52"/>
      <c r="G7" s="96"/>
      <c r="H7" s="98"/>
      <c r="I7" s="48" t="s">
        <v>313</v>
      </c>
      <c r="J7" s="49">
        <f>SUM(J3:J6)</f>
        <v>0</v>
      </c>
      <c r="K7" s="53">
        <f>(2/prodtype)*J7*(J15/4)</f>
        <v>0</v>
      </c>
    </row>
    <row r="8" spans="1:15" x14ac:dyDescent="0.2">
      <c r="A8" s="95"/>
      <c r="B8" s="97"/>
      <c r="C8" s="48" t="s">
        <v>309</v>
      </c>
      <c r="D8" s="50">
        <f>SUM(D3:D7)</f>
        <v>1</v>
      </c>
      <c r="E8" s="53"/>
      <c r="G8" s="59" t="s">
        <v>322</v>
      </c>
      <c r="H8" s="60" t="s">
        <v>315</v>
      </c>
      <c r="I8" s="61" t="s">
        <v>316</v>
      </c>
      <c r="J8" s="62" t="s">
        <v>317</v>
      </c>
      <c r="K8" s="63" t="s">
        <v>319</v>
      </c>
    </row>
    <row r="9" spans="1:15" x14ac:dyDescent="0.2">
      <c r="A9" s="95"/>
      <c r="B9" s="97"/>
      <c r="C9" s="68" t="s">
        <v>310</v>
      </c>
      <c r="D9" s="65">
        <f>(IF($A$15&gt;synergy,1,0))*(IF($A$3&gt;synergy,1,0))</f>
        <v>0</v>
      </c>
      <c r="E9" s="52"/>
      <c r="G9" s="94">
        <v>0</v>
      </c>
      <c r="H9" s="99" t="s">
        <v>4</v>
      </c>
      <c r="I9" s="64">
        <v>0</v>
      </c>
      <c r="J9" s="71">
        <f>IF($G$9&gt;I9,1,0)</f>
        <v>0</v>
      </c>
      <c r="K9" s="82"/>
    </row>
    <row r="10" spans="1:15" x14ac:dyDescent="0.2">
      <c r="A10" s="95"/>
      <c r="B10" s="97"/>
      <c r="C10" s="68" t="s">
        <v>311</v>
      </c>
      <c r="D10" s="65">
        <f>(IF($A$25&gt;synergy,1,0))*(IF($A$3&gt;synergy,1,0))</f>
        <v>0</v>
      </c>
      <c r="E10" s="52"/>
      <c r="G10" s="95"/>
      <c r="H10" s="97"/>
      <c r="I10" s="64">
        <f>commsboost</f>
        <v>200</v>
      </c>
      <c r="J10" s="71">
        <f>IF($G$9&gt;I10,1,0)</f>
        <v>0</v>
      </c>
      <c r="K10" s="82"/>
    </row>
    <row r="11" spans="1:15" ht="12" thickBot="1" x14ac:dyDescent="0.25">
      <c r="A11" s="95"/>
      <c r="B11" s="97"/>
      <c r="C11" s="68" t="s">
        <v>312</v>
      </c>
      <c r="D11" s="65">
        <f>(IF($A$35&gt;synergy,1,0))*(IF($A$3&gt;synergy,1,0))</f>
        <v>0</v>
      </c>
      <c r="E11" s="52"/>
      <c r="G11" s="96"/>
      <c r="H11" s="98"/>
      <c r="I11" s="55" t="s">
        <v>313</v>
      </c>
      <c r="J11" s="70">
        <f>SUM(J9:J10)</f>
        <v>0</v>
      </c>
      <c r="K11" s="88">
        <f>(2/prodtype)*J11</f>
        <v>0</v>
      </c>
    </row>
    <row r="12" spans="1:15" ht="12" thickBot="1" x14ac:dyDescent="0.25">
      <c r="A12" s="96"/>
      <c r="B12" s="98"/>
      <c r="C12" s="55" t="s">
        <v>313</v>
      </c>
      <c r="D12" s="56">
        <f>SUM(D9:D11)+D8</f>
        <v>1</v>
      </c>
      <c r="E12" s="57">
        <f>D12*(20/prodtype)</f>
        <v>20</v>
      </c>
    </row>
    <row r="13" spans="1:15" ht="12" thickBot="1" x14ac:dyDescent="0.25">
      <c r="C13" s="48"/>
      <c r="D13" s="50"/>
      <c r="E13" s="49"/>
      <c r="G13" s="43" t="s">
        <v>325</v>
      </c>
      <c r="J13" s="44"/>
    </row>
    <row r="14" spans="1:15" x14ac:dyDescent="0.2">
      <c r="A14" s="59" t="s">
        <v>314</v>
      </c>
      <c r="B14" s="60" t="s">
        <v>315</v>
      </c>
      <c r="C14" s="61" t="s">
        <v>316</v>
      </c>
      <c r="D14" s="62" t="s">
        <v>317</v>
      </c>
      <c r="E14" s="63" t="s">
        <v>319</v>
      </c>
      <c r="G14" s="59"/>
      <c r="H14" s="60" t="s">
        <v>315</v>
      </c>
      <c r="I14" s="61"/>
      <c r="J14" s="62" t="s">
        <v>317</v>
      </c>
      <c r="K14" s="63" t="s">
        <v>318</v>
      </c>
    </row>
    <row r="15" spans="1:15" x14ac:dyDescent="0.2">
      <c r="A15" s="94">
        <v>0</v>
      </c>
      <c r="B15" s="97" t="s">
        <v>14</v>
      </c>
      <c r="C15" s="64">
        <v>20</v>
      </c>
      <c r="D15" s="65">
        <f>IF((A$15/prodtype)&gt;=C15,1,0)</f>
        <v>0</v>
      </c>
      <c r="E15" s="52"/>
      <c r="G15" s="73"/>
      <c r="H15" s="99" t="s">
        <v>183</v>
      </c>
      <c r="I15" s="84" t="s">
        <v>326</v>
      </c>
      <c r="J15" s="74">
        <f>D12+D22+D32+D42</f>
        <v>1</v>
      </c>
      <c r="K15" s="75">
        <f>(16/prodtype)*J15</f>
        <v>16</v>
      </c>
      <c r="L15" s="79"/>
      <c r="M15" s="79"/>
      <c r="O15" s="87"/>
    </row>
    <row r="16" spans="1:15" x14ac:dyDescent="0.2">
      <c r="A16" s="95"/>
      <c r="B16" s="97"/>
      <c r="C16" s="64"/>
      <c r="D16" s="65"/>
      <c r="E16" s="52"/>
      <c r="G16" s="76"/>
      <c r="H16" s="100"/>
      <c r="I16" s="85" t="s">
        <v>327</v>
      </c>
      <c r="J16" s="77">
        <f>J7+J11</f>
        <v>0</v>
      </c>
      <c r="K16" s="80">
        <f>((4/prodtype)*J16)*(J15/4)</f>
        <v>0</v>
      </c>
      <c r="L16" s="87"/>
    </row>
    <row r="17" spans="1:11" ht="13.5" x14ac:dyDescent="0.2">
      <c r="A17" s="95"/>
      <c r="B17" s="97"/>
      <c r="C17" s="66">
        <v>1000</v>
      </c>
      <c r="D17" s="65">
        <f>IF(AND($A$3&gt;=baseprod)*A$15&gt;C17,1,0)</f>
        <v>0</v>
      </c>
      <c r="E17" s="52"/>
      <c r="G17" s="51"/>
      <c r="H17" s="58"/>
      <c r="J17" s="47"/>
      <c r="K17" s="81">
        <f>SUM(K15:K16)</f>
        <v>16</v>
      </c>
    </row>
    <row r="18" spans="1:11" x14ac:dyDescent="0.2">
      <c r="A18" s="95"/>
      <c r="B18" s="97"/>
      <c r="C18" s="66"/>
      <c r="D18" s="65"/>
      <c r="E18" s="52"/>
      <c r="G18" s="51"/>
      <c r="I18" s="48"/>
      <c r="K18" s="82"/>
    </row>
    <row r="19" spans="1:11" x14ac:dyDescent="0.2">
      <c r="A19" s="95"/>
      <c r="B19" s="97"/>
      <c r="C19" s="67">
        <v>8000</v>
      </c>
      <c r="D19" s="65">
        <f>ROUNDDOWN($A$15/C19,0)</f>
        <v>0</v>
      </c>
      <c r="E19" s="52"/>
      <c r="G19" s="73"/>
      <c r="H19" s="99" t="s">
        <v>4</v>
      </c>
      <c r="I19" s="84"/>
      <c r="J19" s="74">
        <f>J15</f>
        <v>1</v>
      </c>
      <c r="K19" s="89">
        <f>(2/prodtype)*J7*(J15/4)</f>
        <v>0</v>
      </c>
    </row>
    <row r="20" spans="1:11" x14ac:dyDescent="0.2">
      <c r="A20" s="95"/>
      <c r="B20" s="97"/>
      <c r="C20" s="48" t="s">
        <v>309</v>
      </c>
      <c r="D20" s="50">
        <f>SUM(D15:D19)</f>
        <v>0</v>
      </c>
      <c r="E20" s="53"/>
      <c r="G20" s="76"/>
      <c r="H20" s="100"/>
      <c r="I20" s="85"/>
      <c r="J20" s="77"/>
      <c r="K20" s="78"/>
    </row>
    <row r="21" spans="1:11" x14ac:dyDescent="0.2">
      <c r="A21" s="95"/>
      <c r="B21" s="97"/>
      <c r="C21" s="68" t="s">
        <v>304</v>
      </c>
      <c r="D21" s="65">
        <f>(IF($A$15&gt;synergy,1,0))*(IF($A$3&gt;synergy,1,0))</f>
        <v>0</v>
      </c>
      <c r="E21" s="52"/>
      <c r="G21" s="73"/>
      <c r="H21" s="99" t="s">
        <v>55</v>
      </c>
      <c r="I21" s="84"/>
      <c r="J21" s="74">
        <f>J15</f>
        <v>1</v>
      </c>
      <c r="K21" s="75">
        <f>(2/prodtype)*J21</f>
        <v>2</v>
      </c>
    </row>
    <row r="22" spans="1:11" ht="12" thickBot="1" x14ac:dyDescent="0.25">
      <c r="A22" s="96"/>
      <c r="B22" s="98"/>
      <c r="C22" s="55" t="s">
        <v>313</v>
      </c>
      <c r="D22" s="56">
        <f>SUM(D21)+D20</f>
        <v>0</v>
      </c>
      <c r="E22" s="57">
        <f>D22*(20/prodtype)</f>
        <v>0</v>
      </c>
      <c r="G22" s="51"/>
      <c r="H22" s="97"/>
      <c r="J22" s="47"/>
      <c r="K22" s="69"/>
    </row>
    <row r="23" spans="1:11" ht="12" thickBot="1" x14ac:dyDescent="0.25">
      <c r="C23" s="48"/>
      <c r="D23" s="50"/>
      <c r="E23" s="49"/>
      <c r="G23" s="73"/>
      <c r="H23" s="99" t="s">
        <v>53</v>
      </c>
      <c r="I23" s="84"/>
      <c r="J23" s="74">
        <f>J21</f>
        <v>1</v>
      </c>
      <c r="K23" s="75">
        <f>(2/prodtype)*J23</f>
        <v>2</v>
      </c>
    </row>
    <row r="24" spans="1:11" ht="12" thickBot="1" x14ac:dyDescent="0.25">
      <c r="A24" s="59" t="s">
        <v>314</v>
      </c>
      <c r="B24" s="60" t="s">
        <v>315</v>
      </c>
      <c r="C24" s="61" t="s">
        <v>316</v>
      </c>
      <c r="D24" s="62" t="s">
        <v>317</v>
      </c>
      <c r="E24" s="63" t="s">
        <v>319</v>
      </c>
      <c r="G24" s="54"/>
      <c r="H24" s="98"/>
      <c r="I24" s="86"/>
      <c r="J24" s="72"/>
      <c r="K24" s="83"/>
    </row>
    <row r="25" spans="1:11" x14ac:dyDescent="0.2">
      <c r="A25" s="94">
        <v>0</v>
      </c>
      <c r="B25" s="97" t="s">
        <v>240</v>
      </c>
      <c r="C25" s="64">
        <v>20</v>
      </c>
      <c r="D25" s="65">
        <f>IF((A$25/prodtype)&gt;=C25,1,0)</f>
        <v>0</v>
      </c>
      <c r="E25" s="52"/>
      <c r="J25" s="47"/>
    </row>
    <row r="26" spans="1:11" x14ac:dyDescent="0.2">
      <c r="A26" s="95"/>
      <c r="B26" s="97"/>
      <c r="C26" s="64"/>
      <c r="D26" s="65"/>
      <c r="E26" s="52"/>
      <c r="G26" s="43"/>
      <c r="I26" s="48"/>
      <c r="J26" s="44"/>
    </row>
    <row r="27" spans="1:11" x14ac:dyDescent="0.2">
      <c r="A27" s="95"/>
      <c r="B27" s="97"/>
      <c r="C27" s="66">
        <v>1000</v>
      </c>
      <c r="D27" s="65">
        <f>IF(AND($A$3&gt;=baseprod)*A$25&gt;C27,1,0)</f>
        <v>0</v>
      </c>
      <c r="E27" s="52"/>
    </row>
    <row r="28" spans="1:11" x14ac:dyDescent="0.2">
      <c r="A28" s="95"/>
      <c r="B28" s="97"/>
      <c r="C28" s="66"/>
      <c r="D28" s="65"/>
      <c r="E28" s="52"/>
      <c r="J28" s="47"/>
    </row>
    <row r="29" spans="1:11" x14ac:dyDescent="0.2">
      <c r="A29" s="95"/>
      <c r="B29" s="97"/>
      <c r="C29" s="67">
        <v>8000</v>
      </c>
      <c r="D29" s="65">
        <f>ROUNDDOWN($A$25/C29,0)</f>
        <v>0</v>
      </c>
      <c r="E29" s="52"/>
      <c r="I29" s="48"/>
      <c r="J29" s="49"/>
    </row>
    <row r="30" spans="1:11" x14ac:dyDescent="0.2">
      <c r="A30" s="95"/>
      <c r="B30" s="97"/>
      <c r="C30" s="48" t="s">
        <v>309</v>
      </c>
      <c r="D30" s="50">
        <f>SUM(D25:D29)</f>
        <v>0</v>
      </c>
      <c r="E30" s="53"/>
      <c r="G30" s="43"/>
    </row>
    <row r="31" spans="1:11" x14ac:dyDescent="0.2">
      <c r="A31" s="95"/>
      <c r="B31" s="97"/>
      <c r="C31" s="68" t="s">
        <v>304</v>
      </c>
      <c r="D31" s="65">
        <f>(IF($A$25&gt;synergy,1,0))*(IF($A$3&gt;synergy,1,0))</f>
        <v>0</v>
      </c>
      <c r="E31" s="52"/>
      <c r="J31" s="47"/>
    </row>
    <row r="32" spans="1:11" ht="12" thickBot="1" x14ac:dyDescent="0.25">
      <c r="A32" s="96"/>
      <c r="B32" s="98"/>
      <c r="C32" s="55" t="s">
        <v>313</v>
      </c>
      <c r="D32" s="56">
        <f>SUM(D31)+D30</f>
        <v>0</v>
      </c>
      <c r="E32" s="57">
        <f>D32*(20/prodtype)</f>
        <v>0</v>
      </c>
      <c r="I32" s="48"/>
      <c r="J32" s="49"/>
    </row>
    <row r="33" spans="1:10" ht="12" thickBot="1" x14ac:dyDescent="0.25">
      <c r="C33" s="48"/>
      <c r="D33" s="50"/>
      <c r="E33" s="49"/>
    </row>
    <row r="34" spans="1:10" x14ac:dyDescent="0.2">
      <c r="A34" s="59" t="s">
        <v>314</v>
      </c>
      <c r="B34" s="60" t="s">
        <v>315</v>
      </c>
      <c r="C34" s="61" t="s">
        <v>316</v>
      </c>
      <c r="D34" s="62" t="s">
        <v>317</v>
      </c>
      <c r="E34" s="63" t="s">
        <v>319</v>
      </c>
      <c r="J34" s="47"/>
    </row>
    <row r="35" spans="1:10" x14ac:dyDescent="0.2">
      <c r="A35" s="94">
        <v>0</v>
      </c>
      <c r="B35" s="97" t="s">
        <v>127</v>
      </c>
      <c r="C35" s="64">
        <v>20</v>
      </c>
      <c r="D35" s="65">
        <f>IF((A$35/prodtype)&gt;=C35,1,0)</f>
        <v>0</v>
      </c>
      <c r="E35" s="52"/>
      <c r="I35" s="48"/>
      <c r="J35" s="49"/>
    </row>
    <row r="36" spans="1:10" x14ac:dyDescent="0.2">
      <c r="A36" s="95"/>
      <c r="B36" s="97"/>
      <c r="C36" s="64"/>
      <c r="D36" s="65"/>
      <c r="E36" s="52"/>
    </row>
    <row r="37" spans="1:10" x14ac:dyDescent="0.2">
      <c r="A37" s="95"/>
      <c r="B37" s="97"/>
      <c r="C37" s="66">
        <v>1000</v>
      </c>
      <c r="D37" s="65">
        <f>IF(AND($A$3&gt;=baseprod)*A$35&gt;C37,1,0)</f>
        <v>0</v>
      </c>
      <c r="E37" s="52"/>
    </row>
    <row r="38" spans="1:10" x14ac:dyDescent="0.2">
      <c r="A38" s="95"/>
      <c r="B38" s="97"/>
      <c r="C38" s="66"/>
      <c r="D38" s="65"/>
      <c r="E38" s="52"/>
      <c r="I38" s="48"/>
      <c r="J38" s="49"/>
    </row>
    <row r="39" spans="1:10" x14ac:dyDescent="0.2">
      <c r="A39" s="95"/>
      <c r="B39" s="97"/>
      <c r="C39" s="67">
        <v>8000</v>
      </c>
      <c r="D39" s="65">
        <f>ROUNDDOWN($A$35/C39,0)</f>
        <v>0</v>
      </c>
      <c r="E39" s="52"/>
    </row>
    <row r="40" spans="1:10" x14ac:dyDescent="0.2">
      <c r="A40" s="95"/>
      <c r="B40" s="97"/>
      <c r="C40" s="48" t="s">
        <v>309</v>
      </c>
      <c r="D40" s="50">
        <f>SUM(D35:D39)</f>
        <v>0</v>
      </c>
      <c r="E40" s="53"/>
    </row>
    <row r="41" spans="1:10" x14ac:dyDescent="0.2">
      <c r="A41" s="95"/>
      <c r="B41" s="97"/>
      <c r="C41" s="68" t="s">
        <v>304</v>
      </c>
      <c r="D41" s="65">
        <f>(IF($A$35&gt;synergy,1,0))*(IF($A$3&gt;synergy,1,0))</f>
        <v>0</v>
      </c>
      <c r="E41" s="52"/>
      <c r="I41" s="48"/>
      <c r="J41" s="49"/>
    </row>
    <row r="42" spans="1:10" ht="12" thickBot="1" x14ac:dyDescent="0.25">
      <c r="A42" s="96"/>
      <c r="B42" s="98"/>
      <c r="C42" s="55" t="s">
        <v>313</v>
      </c>
      <c r="D42" s="56">
        <f>SUM(D41)+D40</f>
        <v>0</v>
      </c>
      <c r="E42" s="57">
        <f>D42*(20/prodtype)</f>
        <v>0</v>
      </c>
    </row>
  </sheetData>
  <mergeCells count="16">
    <mergeCell ref="H15:H16"/>
    <mergeCell ref="H19:H20"/>
    <mergeCell ref="H21:H22"/>
    <mergeCell ref="H23:H24"/>
    <mergeCell ref="A3:A12"/>
    <mergeCell ref="B3:B12"/>
    <mergeCell ref="G3:G7"/>
    <mergeCell ref="H3:H7"/>
    <mergeCell ref="G9:G11"/>
    <mergeCell ref="H9:H11"/>
    <mergeCell ref="A25:A32"/>
    <mergeCell ref="B25:B32"/>
    <mergeCell ref="A35:A42"/>
    <mergeCell ref="B35:B42"/>
    <mergeCell ref="A15:A22"/>
    <mergeCell ref="B15:B2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ED3AE-0238-4893-B7AE-12C917BF6708}">
  <dimension ref="A1:O42"/>
  <sheetViews>
    <sheetView workbookViewId="0">
      <selection activeCell="D6" sqref="D6"/>
    </sheetView>
  </sheetViews>
  <sheetFormatPr defaultRowHeight="11.25" x14ac:dyDescent="0.2"/>
  <cols>
    <col min="1" max="1" width="13.28515625" style="44" bestFit="1" customWidth="1"/>
    <col min="2" max="2" width="18.7109375" style="44" customWidth="1"/>
    <col min="3" max="3" width="9.7109375" style="45" customWidth="1"/>
    <col min="4" max="4" width="5.7109375" style="46" customWidth="1"/>
    <col min="5" max="5" width="10.7109375" style="46" customWidth="1"/>
    <col min="6" max="6" width="5.7109375" style="44" customWidth="1"/>
    <col min="7" max="7" width="17.42578125" style="44" bestFit="1" customWidth="1"/>
    <col min="8" max="8" width="18.7109375" style="44" customWidth="1"/>
    <col min="9" max="9" width="9.7109375" style="45" customWidth="1"/>
    <col min="10" max="10" width="5.7109375" style="46" customWidth="1"/>
    <col min="11" max="11" width="10.7109375" style="46" customWidth="1"/>
    <col min="12" max="16384" width="9.140625" style="44"/>
  </cols>
  <sheetData>
    <row r="1" spans="1:15" ht="12" thickBot="1" x14ac:dyDescent="0.25">
      <c r="A1" s="43" t="s">
        <v>323</v>
      </c>
      <c r="G1" s="43" t="s">
        <v>324</v>
      </c>
    </row>
    <row r="2" spans="1:15" x14ac:dyDescent="0.2">
      <c r="A2" s="59" t="s">
        <v>314</v>
      </c>
      <c r="B2" s="60" t="s">
        <v>315</v>
      </c>
      <c r="C2" s="61" t="s">
        <v>316</v>
      </c>
      <c r="D2" s="62" t="s">
        <v>317</v>
      </c>
      <c r="E2" s="63" t="s">
        <v>319</v>
      </c>
      <c r="G2" s="59" t="s">
        <v>322</v>
      </c>
      <c r="H2" s="60" t="s">
        <v>315</v>
      </c>
      <c r="I2" s="61" t="s">
        <v>316</v>
      </c>
      <c r="J2" s="62" t="s">
        <v>317</v>
      </c>
      <c r="K2" s="63" t="s">
        <v>319</v>
      </c>
    </row>
    <row r="3" spans="1:15" x14ac:dyDescent="0.2">
      <c r="A3" s="94">
        <v>20</v>
      </c>
      <c r="B3" s="97" t="s">
        <v>125</v>
      </c>
      <c r="C3" s="64">
        <v>20</v>
      </c>
      <c r="D3" s="65">
        <f>IF((A$3/prodtype)&gt;=C3,1,0)</f>
        <v>1</v>
      </c>
      <c r="E3" s="52"/>
      <c r="G3" s="94">
        <v>0</v>
      </c>
      <c r="H3" s="99" t="s">
        <v>66</v>
      </c>
      <c r="I3" s="64">
        <v>0</v>
      </c>
      <c r="J3" s="71">
        <f>IF($G$3&gt;I3,1,0)</f>
        <v>0</v>
      </c>
      <c r="K3" s="82"/>
    </row>
    <row r="4" spans="1:15" x14ac:dyDescent="0.2">
      <c r="A4" s="95"/>
      <c r="B4" s="97"/>
      <c r="C4" s="64">
        <v>500</v>
      </c>
      <c r="D4" s="65">
        <f>IF(A$3&gt;C4,1,0)</f>
        <v>0</v>
      </c>
      <c r="E4" s="52"/>
      <c r="G4" s="95"/>
      <c r="H4" s="97"/>
      <c r="I4" s="64">
        <f>ensp</f>
        <v>200</v>
      </c>
      <c r="J4" s="71">
        <f t="shared" ref="J4:J6" si="0">IF($G$3&gt;I4,1,0)</f>
        <v>0</v>
      </c>
      <c r="K4" s="82"/>
    </row>
    <row r="5" spans="1:15" x14ac:dyDescent="0.2">
      <c r="A5" s="95"/>
      <c r="B5" s="97"/>
      <c r="C5" s="66">
        <v>3000</v>
      </c>
      <c r="D5" s="65">
        <f>IF(AND($A$15&gt;=baseprod)*A$3&gt;C5,1,0)</f>
        <v>0</v>
      </c>
      <c r="E5" s="52"/>
      <c r="G5" s="95"/>
      <c r="H5" s="97"/>
      <c r="I5" s="64">
        <v>1000</v>
      </c>
      <c r="J5" s="71">
        <f t="shared" si="0"/>
        <v>0</v>
      </c>
      <c r="K5" s="82"/>
    </row>
    <row r="6" spans="1:15" x14ac:dyDescent="0.2">
      <c r="A6" s="95"/>
      <c r="B6" s="97"/>
      <c r="C6" s="66"/>
      <c r="D6" s="65"/>
      <c r="E6" s="52"/>
      <c r="G6" s="95"/>
      <c r="H6" s="97"/>
      <c r="I6" s="64">
        <v>3000</v>
      </c>
      <c r="J6" s="71">
        <f t="shared" si="0"/>
        <v>0</v>
      </c>
      <c r="K6" s="82"/>
    </row>
    <row r="7" spans="1:15" ht="12" thickBot="1" x14ac:dyDescent="0.25">
      <c r="A7" s="95"/>
      <c r="B7" s="97"/>
      <c r="C7" s="67">
        <v>8000</v>
      </c>
      <c r="D7" s="65">
        <f>ROUNDDOWN($A$3/C7,0)</f>
        <v>0</v>
      </c>
      <c r="E7" s="52"/>
      <c r="G7" s="96"/>
      <c r="H7" s="98"/>
      <c r="I7" s="48" t="s">
        <v>313</v>
      </c>
      <c r="J7" s="49">
        <f>SUM(J3:J6)</f>
        <v>0</v>
      </c>
      <c r="K7" s="53">
        <f>(2/prodtype)*J7*(J15/4)</f>
        <v>0</v>
      </c>
    </row>
    <row r="8" spans="1:15" x14ac:dyDescent="0.2">
      <c r="A8" s="95"/>
      <c r="B8" s="97"/>
      <c r="C8" s="48" t="s">
        <v>309</v>
      </c>
      <c r="D8" s="50">
        <f>SUM(D3:D7)</f>
        <v>1</v>
      </c>
      <c r="E8" s="53"/>
      <c r="G8" s="59" t="s">
        <v>322</v>
      </c>
      <c r="H8" s="60" t="s">
        <v>315</v>
      </c>
      <c r="I8" s="61" t="s">
        <v>316</v>
      </c>
      <c r="J8" s="62" t="s">
        <v>317</v>
      </c>
      <c r="K8" s="63" t="s">
        <v>319</v>
      </c>
    </row>
    <row r="9" spans="1:15" x14ac:dyDescent="0.2">
      <c r="A9" s="95"/>
      <c r="B9" s="97"/>
      <c r="C9" s="68" t="s">
        <v>310</v>
      </c>
      <c r="D9" s="65">
        <f>(IF($A$15&gt;synergy,1,0))*(IF($A$3&gt;synergy,1,0))</f>
        <v>0</v>
      </c>
      <c r="E9" s="52"/>
      <c r="G9" s="94">
        <v>0</v>
      </c>
      <c r="H9" s="99" t="s">
        <v>4</v>
      </c>
      <c r="I9" s="64">
        <v>0</v>
      </c>
      <c r="J9" s="71">
        <f>IF($G$9&gt;I9,1,0)</f>
        <v>0</v>
      </c>
      <c r="K9" s="82"/>
    </row>
    <row r="10" spans="1:15" x14ac:dyDescent="0.2">
      <c r="A10" s="95"/>
      <c r="B10" s="97"/>
      <c r="C10" s="68" t="s">
        <v>311</v>
      </c>
      <c r="D10" s="65">
        <f>(IF($A$25&gt;synergy,1,0))*(IF($A$3&gt;synergy,1,0))</f>
        <v>0</v>
      </c>
      <c r="E10" s="52"/>
      <c r="G10" s="95"/>
      <c r="H10" s="97"/>
      <c r="I10" s="64">
        <f>commsboost</f>
        <v>200</v>
      </c>
      <c r="J10" s="71">
        <f>IF($G$9&gt;I10,1,0)</f>
        <v>0</v>
      </c>
      <c r="K10" s="82"/>
    </row>
    <row r="11" spans="1:15" ht="12" thickBot="1" x14ac:dyDescent="0.25">
      <c r="A11" s="95"/>
      <c r="B11" s="97"/>
      <c r="C11" s="68" t="s">
        <v>312</v>
      </c>
      <c r="D11" s="65">
        <f>(IF($A$35&gt;synergy,1,0))*(IF($A$3&gt;synergy,1,0))</f>
        <v>0</v>
      </c>
      <c r="E11" s="52"/>
      <c r="G11" s="96"/>
      <c r="H11" s="98"/>
      <c r="I11" s="55" t="s">
        <v>313</v>
      </c>
      <c r="J11" s="70">
        <f>SUM(J9:J10)</f>
        <v>0</v>
      </c>
      <c r="K11" s="88">
        <f>(2/prodtype)*J11</f>
        <v>0</v>
      </c>
    </row>
    <row r="12" spans="1:15" ht="12" thickBot="1" x14ac:dyDescent="0.25">
      <c r="A12" s="96"/>
      <c r="B12" s="98"/>
      <c r="C12" s="55" t="s">
        <v>313</v>
      </c>
      <c r="D12" s="56">
        <f>SUM(D9:D11)+D8</f>
        <v>1</v>
      </c>
      <c r="E12" s="57">
        <f>D12*(20/prodtype)</f>
        <v>20</v>
      </c>
    </row>
    <row r="13" spans="1:15" ht="12" thickBot="1" x14ac:dyDescent="0.25">
      <c r="C13" s="48"/>
      <c r="D13" s="50"/>
      <c r="E13" s="49"/>
      <c r="G13" s="43" t="s">
        <v>325</v>
      </c>
      <c r="J13" s="44"/>
    </row>
    <row r="14" spans="1:15" x14ac:dyDescent="0.2">
      <c r="A14" s="59" t="s">
        <v>314</v>
      </c>
      <c r="B14" s="60" t="s">
        <v>315</v>
      </c>
      <c r="C14" s="61" t="s">
        <v>316</v>
      </c>
      <c r="D14" s="62" t="s">
        <v>317</v>
      </c>
      <c r="E14" s="63" t="s">
        <v>319</v>
      </c>
      <c r="G14" s="59"/>
      <c r="H14" s="60" t="s">
        <v>315</v>
      </c>
      <c r="I14" s="61"/>
      <c r="J14" s="62" t="s">
        <v>317</v>
      </c>
      <c r="K14" s="63" t="s">
        <v>318</v>
      </c>
    </row>
    <row r="15" spans="1:15" x14ac:dyDescent="0.2">
      <c r="A15" s="94">
        <v>0</v>
      </c>
      <c r="B15" s="97" t="s">
        <v>14</v>
      </c>
      <c r="C15" s="64">
        <v>20</v>
      </c>
      <c r="D15" s="65">
        <f>IF((A$15/prodtype)&gt;=C15,1,0)</f>
        <v>0</v>
      </c>
      <c r="E15" s="52"/>
      <c r="G15" s="73"/>
      <c r="H15" s="99" t="s">
        <v>184</v>
      </c>
      <c r="I15" s="84" t="s">
        <v>326</v>
      </c>
      <c r="J15" s="74">
        <f>D12+D22+D32+D42</f>
        <v>1</v>
      </c>
      <c r="K15" s="75">
        <f>(16/prodtype)*J15</f>
        <v>16</v>
      </c>
      <c r="L15" s="79"/>
      <c r="M15" s="79"/>
      <c r="O15" s="87"/>
    </row>
    <row r="16" spans="1:15" x14ac:dyDescent="0.2">
      <c r="A16" s="95"/>
      <c r="B16" s="97"/>
      <c r="C16" s="64"/>
      <c r="D16" s="65"/>
      <c r="E16" s="52"/>
      <c r="G16" s="76"/>
      <c r="H16" s="100"/>
      <c r="I16" s="85" t="s">
        <v>327</v>
      </c>
      <c r="J16" s="77">
        <f>J7+J11</f>
        <v>0</v>
      </c>
      <c r="K16" s="80">
        <f>((4/prodtype)*J16)*(J15/4)</f>
        <v>0</v>
      </c>
      <c r="L16" s="87"/>
    </row>
    <row r="17" spans="1:11" ht="13.5" x14ac:dyDescent="0.2">
      <c r="A17" s="95"/>
      <c r="B17" s="97"/>
      <c r="C17" s="66">
        <v>1000</v>
      </c>
      <c r="D17" s="65">
        <f>IF(AND($A$3&gt;=baseprod)*A$15&gt;C17,1,0)</f>
        <v>0</v>
      </c>
      <c r="E17" s="52"/>
      <c r="G17" s="51"/>
      <c r="H17" s="58"/>
      <c r="J17" s="47"/>
      <c r="K17" s="81">
        <f>SUM(K15:K16)</f>
        <v>16</v>
      </c>
    </row>
    <row r="18" spans="1:11" x14ac:dyDescent="0.2">
      <c r="A18" s="95"/>
      <c r="B18" s="97"/>
      <c r="C18" s="66"/>
      <c r="D18" s="65"/>
      <c r="E18" s="52"/>
      <c r="G18" s="51"/>
      <c r="I18" s="48"/>
      <c r="K18" s="82"/>
    </row>
    <row r="19" spans="1:11" x14ac:dyDescent="0.2">
      <c r="A19" s="95"/>
      <c r="B19" s="97"/>
      <c r="C19" s="67">
        <v>8000</v>
      </c>
      <c r="D19" s="65">
        <f>ROUNDDOWN($A$15/C19,0)</f>
        <v>0</v>
      </c>
      <c r="E19" s="52"/>
      <c r="G19" s="73"/>
      <c r="H19" s="99" t="s">
        <v>4</v>
      </c>
      <c r="I19" s="84"/>
      <c r="J19" s="74">
        <f>J15</f>
        <v>1</v>
      </c>
      <c r="K19" s="89">
        <f>(2/prodtype)*J7*(J15/4)</f>
        <v>0</v>
      </c>
    </row>
    <row r="20" spans="1:11" x14ac:dyDescent="0.2">
      <c r="A20" s="95"/>
      <c r="B20" s="97"/>
      <c r="C20" s="48" t="s">
        <v>309</v>
      </c>
      <c r="D20" s="50">
        <f>SUM(D15:D19)</f>
        <v>0</v>
      </c>
      <c r="E20" s="53"/>
      <c r="G20" s="76"/>
      <c r="H20" s="100"/>
      <c r="I20" s="85"/>
      <c r="J20" s="77"/>
      <c r="K20" s="78"/>
    </row>
    <row r="21" spans="1:11" x14ac:dyDescent="0.2">
      <c r="A21" s="95"/>
      <c r="B21" s="97"/>
      <c r="C21" s="68" t="s">
        <v>304</v>
      </c>
      <c r="D21" s="65">
        <f>(IF($A$15&gt;synergy,1,0))*(IF($A$3&gt;synergy,1,0))</f>
        <v>0</v>
      </c>
      <c r="E21" s="52"/>
      <c r="G21" s="73"/>
      <c r="H21" s="99" t="s">
        <v>55</v>
      </c>
      <c r="I21" s="84"/>
      <c r="J21" s="74">
        <f>J15</f>
        <v>1</v>
      </c>
      <c r="K21" s="75">
        <f>(2/prodtype)*J21</f>
        <v>2</v>
      </c>
    </row>
    <row r="22" spans="1:11" ht="12" thickBot="1" x14ac:dyDescent="0.25">
      <c r="A22" s="96"/>
      <c r="B22" s="98"/>
      <c r="C22" s="55" t="s">
        <v>313</v>
      </c>
      <c r="D22" s="56">
        <f>SUM(D21)+D20</f>
        <v>0</v>
      </c>
      <c r="E22" s="57">
        <f>D22*(20/prodtype)</f>
        <v>0</v>
      </c>
      <c r="G22" s="51"/>
      <c r="H22" s="97"/>
      <c r="J22" s="47"/>
      <c r="K22" s="69"/>
    </row>
    <row r="23" spans="1:11" ht="12" thickBot="1" x14ac:dyDescent="0.25">
      <c r="C23" s="48"/>
      <c r="D23" s="50"/>
      <c r="E23" s="49"/>
      <c r="G23" s="73"/>
      <c r="H23" s="99" t="s">
        <v>53</v>
      </c>
      <c r="I23" s="84"/>
      <c r="J23" s="74">
        <f>J21</f>
        <v>1</v>
      </c>
      <c r="K23" s="75">
        <f>(2/prodtype)*J23</f>
        <v>2</v>
      </c>
    </row>
    <row r="24" spans="1:11" ht="12" thickBot="1" x14ac:dyDescent="0.25">
      <c r="A24" s="59" t="s">
        <v>314</v>
      </c>
      <c r="B24" s="60" t="s">
        <v>315</v>
      </c>
      <c r="C24" s="61" t="s">
        <v>316</v>
      </c>
      <c r="D24" s="62" t="s">
        <v>317</v>
      </c>
      <c r="E24" s="63" t="s">
        <v>319</v>
      </c>
      <c r="G24" s="54"/>
      <c r="H24" s="98"/>
      <c r="I24" s="86"/>
      <c r="J24" s="72"/>
      <c r="K24" s="83"/>
    </row>
    <row r="25" spans="1:11" x14ac:dyDescent="0.2">
      <c r="A25" s="94">
        <v>0</v>
      </c>
      <c r="B25" s="97" t="s">
        <v>240</v>
      </c>
      <c r="C25" s="64">
        <v>20</v>
      </c>
      <c r="D25" s="65">
        <f>IF((A$25/prodtype)&gt;=C25,1,0)</f>
        <v>0</v>
      </c>
      <c r="E25" s="52"/>
      <c r="J25" s="47"/>
    </row>
    <row r="26" spans="1:11" x14ac:dyDescent="0.2">
      <c r="A26" s="95"/>
      <c r="B26" s="97"/>
      <c r="C26" s="64"/>
      <c r="D26" s="65"/>
      <c r="E26" s="52"/>
      <c r="G26" s="43"/>
      <c r="I26" s="48"/>
      <c r="J26" s="44"/>
    </row>
    <row r="27" spans="1:11" x14ac:dyDescent="0.2">
      <c r="A27" s="95"/>
      <c r="B27" s="97"/>
      <c r="C27" s="66">
        <v>1000</v>
      </c>
      <c r="D27" s="65">
        <f>IF(AND($A$3&gt;=baseprod)*A$25&gt;C27,1,0)</f>
        <v>0</v>
      </c>
      <c r="E27" s="52"/>
    </row>
    <row r="28" spans="1:11" x14ac:dyDescent="0.2">
      <c r="A28" s="95"/>
      <c r="B28" s="97"/>
      <c r="C28" s="66"/>
      <c r="D28" s="65"/>
      <c r="E28" s="52"/>
      <c r="J28" s="47"/>
    </row>
    <row r="29" spans="1:11" x14ac:dyDescent="0.2">
      <c r="A29" s="95"/>
      <c r="B29" s="97"/>
      <c r="C29" s="67">
        <v>8000</v>
      </c>
      <c r="D29" s="65">
        <f>ROUNDDOWN($A$25/C29,0)</f>
        <v>0</v>
      </c>
      <c r="E29" s="52"/>
      <c r="I29" s="48"/>
      <c r="J29" s="49"/>
    </row>
    <row r="30" spans="1:11" x14ac:dyDescent="0.2">
      <c r="A30" s="95"/>
      <c r="B30" s="97"/>
      <c r="C30" s="48" t="s">
        <v>309</v>
      </c>
      <c r="D30" s="50">
        <f>SUM(D25:D29)</f>
        <v>0</v>
      </c>
      <c r="E30" s="53"/>
      <c r="G30" s="43"/>
    </row>
    <row r="31" spans="1:11" x14ac:dyDescent="0.2">
      <c r="A31" s="95"/>
      <c r="B31" s="97"/>
      <c r="C31" s="68" t="s">
        <v>304</v>
      </c>
      <c r="D31" s="65">
        <f>(IF($A$25&gt;synergy,1,0))*(IF($A$3&gt;synergy,1,0))</f>
        <v>0</v>
      </c>
      <c r="E31" s="52"/>
      <c r="J31" s="47"/>
    </row>
    <row r="32" spans="1:11" ht="12" thickBot="1" x14ac:dyDescent="0.25">
      <c r="A32" s="96"/>
      <c r="B32" s="98"/>
      <c r="C32" s="55" t="s">
        <v>313</v>
      </c>
      <c r="D32" s="56">
        <f>SUM(D31)+D30</f>
        <v>0</v>
      </c>
      <c r="E32" s="57">
        <f>D32*(20/prodtype)</f>
        <v>0</v>
      </c>
      <c r="I32" s="48"/>
      <c r="J32" s="49"/>
    </row>
    <row r="33" spans="1:10" ht="12" thickBot="1" x14ac:dyDescent="0.25">
      <c r="C33" s="48"/>
      <c r="D33" s="50"/>
      <c r="E33" s="49"/>
    </row>
    <row r="34" spans="1:10" x14ac:dyDescent="0.2">
      <c r="A34" s="59" t="s">
        <v>314</v>
      </c>
      <c r="B34" s="60" t="s">
        <v>315</v>
      </c>
      <c r="C34" s="61" t="s">
        <v>316</v>
      </c>
      <c r="D34" s="62" t="s">
        <v>317</v>
      </c>
      <c r="E34" s="63" t="s">
        <v>319</v>
      </c>
      <c r="J34" s="47"/>
    </row>
    <row r="35" spans="1:10" x14ac:dyDescent="0.2">
      <c r="A35" s="94">
        <v>0</v>
      </c>
      <c r="B35" s="97" t="s">
        <v>127</v>
      </c>
      <c r="C35" s="64">
        <v>20</v>
      </c>
      <c r="D35" s="65">
        <f>IF((A$35/prodtype)&gt;=C35,1,0)</f>
        <v>0</v>
      </c>
      <c r="E35" s="52"/>
      <c r="I35" s="48"/>
      <c r="J35" s="49"/>
    </row>
    <row r="36" spans="1:10" x14ac:dyDescent="0.2">
      <c r="A36" s="95"/>
      <c r="B36" s="97"/>
      <c r="C36" s="64"/>
      <c r="D36" s="65"/>
      <c r="E36" s="52"/>
    </row>
    <row r="37" spans="1:10" x14ac:dyDescent="0.2">
      <c r="A37" s="95"/>
      <c r="B37" s="97"/>
      <c r="C37" s="66">
        <v>1000</v>
      </c>
      <c r="D37" s="65">
        <f>IF(AND($A$3&gt;=baseprod)*A$35&gt;C37,1,0)</f>
        <v>0</v>
      </c>
      <c r="E37" s="52"/>
    </row>
    <row r="38" spans="1:10" x14ac:dyDescent="0.2">
      <c r="A38" s="95"/>
      <c r="B38" s="97"/>
      <c r="C38" s="66"/>
      <c r="D38" s="65"/>
      <c r="E38" s="52"/>
      <c r="I38" s="48"/>
      <c r="J38" s="49"/>
    </row>
    <row r="39" spans="1:10" x14ac:dyDescent="0.2">
      <c r="A39" s="95"/>
      <c r="B39" s="97"/>
      <c r="C39" s="67">
        <v>8000</v>
      </c>
      <c r="D39" s="65">
        <f>ROUNDDOWN($A$35/C39,0)</f>
        <v>0</v>
      </c>
      <c r="E39" s="52"/>
    </row>
    <row r="40" spans="1:10" x14ac:dyDescent="0.2">
      <c r="A40" s="95"/>
      <c r="B40" s="97"/>
      <c r="C40" s="48" t="s">
        <v>309</v>
      </c>
      <c r="D40" s="50">
        <f>SUM(D35:D39)</f>
        <v>0</v>
      </c>
      <c r="E40" s="53"/>
    </row>
    <row r="41" spans="1:10" x14ac:dyDescent="0.2">
      <c r="A41" s="95"/>
      <c r="B41" s="97"/>
      <c r="C41" s="68" t="s">
        <v>304</v>
      </c>
      <c r="D41" s="65">
        <f>(IF($A$35&gt;synergy,1,0))*(IF($A$3&gt;synergy,1,0))</f>
        <v>0</v>
      </c>
      <c r="E41" s="52"/>
      <c r="I41" s="48"/>
      <c r="J41" s="49"/>
    </row>
    <row r="42" spans="1:10" ht="12" thickBot="1" x14ac:dyDescent="0.25">
      <c r="A42" s="96"/>
      <c r="B42" s="98"/>
      <c r="C42" s="55" t="s">
        <v>313</v>
      </c>
      <c r="D42" s="56">
        <f>SUM(D41)+D40</f>
        <v>0</v>
      </c>
      <c r="E42" s="57">
        <f>D42*(20/prodtype)</f>
        <v>0</v>
      </c>
    </row>
  </sheetData>
  <mergeCells count="16">
    <mergeCell ref="H15:H16"/>
    <mergeCell ref="H19:H20"/>
    <mergeCell ref="H21:H22"/>
    <mergeCell ref="H23:H24"/>
    <mergeCell ref="A3:A12"/>
    <mergeCell ref="B3:B12"/>
    <mergeCell ref="G3:G7"/>
    <mergeCell ref="H3:H7"/>
    <mergeCell ref="G9:G11"/>
    <mergeCell ref="H9:H11"/>
    <mergeCell ref="A25:A32"/>
    <mergeCell ref="B25:B32"/>
    <mergeCell ref="A35:A42"/>
    <mergeCell ref="B35:B42"/>
    <mergeCell ref="A15:A22"/>
    <mergeCell ref="B15:B2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2E709-1F68-42AD-98C1-562C8DDDE766}">
  <dimension ref="A1:O42"/>
  <sheetViews>
    <sheetView workbookViewId="0">
      <selection activeCell="A35" sqref="A35:E42"/>
    </sheetView>
  </sheetViews>
  <sheetFormatPr defaultRowHeight="11.25" x14ac:dyDescent="0.2"/>
  <cols>
    <col min="1" max="1" width="13.28515625" style="44" bestFit="1" customWidth="1"/>
    <col min="2" max="2" width="18.7109375" style="44" customWidth="1"/>
    <col min="3" max="3" width="9.7109375" style="45" customWidth="1"/>
    <col min="4" max="4" width="5.7109375" style="46" customWidth="1"/>
    <col min="5" max="5" width="10.7109375" style="46" customWidth="1"/>
    <col min="6" max="6" width="5.7109375" style="44" customWidth="1"/>
    <col min="7" max="7" width="17.42578125" style="44" bestFit="1" customWidth="1"/>
    <col min="8" max="8" width="18.7109375" style="44" customWidth="1"/>
    <col min="9" max="9" width="9.7109375" style="45" customWidth="1"/>
    <col min="10" max="10" width="5.7109375" style="46" customWidth="1"/>
    <col min="11" max="11" width="10.7109375" style="46" customWidth="1"/>
    <col min="12" max="16384" width="9.140625" style="44"/>
  </cols>
  <sheetData>
    <row r="1" spans="1:15" ht="12" thickBot="1" x14ac:dyDescent="0.25">
      <c r="A1" s="43" t="s">
        <v>323</v>
      </c>
      <c r="G1" s="43" t="s">
        <v>324</v>
      </c>
    </row>
    <row r="2" spans="1:15" x14ac:dyDescent="0.2">
      <c r="A2" s="59" t="s">
        <v>314</v>
      </c>
      <c r="B2" s="60" t="s">
        <v>315</v>
      </c>
      <c r="C2" s="61" t="s">
        <v>316</v>
      </c>
      <c r="D2" s="62" t="s">
        <v>317</v>
      </c>
      <c r="E2" s="63" t="s">
        <v>319</v>
      </c>
      <c r="G2" s="59" t="s">
        <v>322</v>
      </c>
      <c r="H2" s="60" t="s">
        <v>315</v>
      </c>
      <c r="I2" s="61" t="s">
        <v>316</v>
      </c>
      <c r="J2" s="62" t="s">
        <v>317</v>
      </c>
      <c r="K2" s="63" t="s">
        <v>319</v>
      </c>
    </row>
    <row r="3" spans="1:15" x14ac:dyDescent="0.2">
      <c r="A3" s="94">
        <v>20</v>
      </c>
      <c r="B3" s="97" t="s">
        <v>63</v>
      </c>
      <c r="C3" s="64">
        <v>20</v>
      </c>
      <c r="D3" s="65">
        <f>IF((A$3/prodtype)&gt;=C3,1,0)</f>
        <v>1</v>
      </c>
      <c r="E3" s="52"/>
      <c r="G3" s="94">
        <v>0</v>
      </c>
      <c r="H3" s="99" t="s">
        <v>66</v>
      </c>
      <c r="I3" s="64">
        <v>0</v>
      </c>
      <c r="J3" s="71">
        <f>IF($G$3&gt;I3,1,0)</f>
        <v>0</v>
      </c>
      <c r="K3" s="82"/>
    </row>
    <row r="4" spans="1:15" x14ac:dyDescent="0.2">
      <c r="A4" s="95"/>
      <c r="B4" s="97"/>
      <c r="C4" s="64">
        <v>500</v>
      </c>
      <c r="D4" s="65">
        <f>IF(A$3&gt;C4,1,0)</f>
        <v>0</v>
      </c>
      <c r="E4" s="52"/>
      <c r="G4" s="95"/>
      <c r="H4" s="97"/>
      <c r="I4" s="64">
        <f>ensp</f>
        <v>200</v>
      </c>
      <c r="J4" s="71">
        <f t="shared" ref="J4:J6" si="0">IF($G$3&gt;I4,1,0)</f>
        <v>0</v>
      </c>
      <c r="K4" s="82"/>
    </row>
    <row r="5" spans="1:15" x14ac:dyDescent="0.2">
      <c r="A5" s="95"/>
      <c r="B5" s="97"/>
      <c r="C5" s="66">
        <v>1000</v>
      </c>
      <c r="D5" s="65">
        <f>IF(AND($A$15&gt;=baseprod)*A$3&gt;C5,1,0)</f>
        <v>0</v>
      </c>
      <c r="E5" s="52"/>
      <c r="G5" s="95"/>
      <c r="H5" s="97"/>
      <c r="I5" s="64">
        <v>1000</v>
      </c>
      <c r="J5" s="71">
        <f t="shared" si="0"/>
        <v>0</v>
      </c>
      <c r="K5" s="82"/>
    </row>
    <row r="6" spans="1:15" x14ac:dyDescent="0.2">
      <c r="A6" s="95"/>
      <c r="B6" s="97"/>
      <c r="C6" s="66">
        <v>2500</v>
      </c>
      <c r="D6" s="65">
        <f>IF(AND($A$15&gt;=baseprod)*A$3&gt;C6,1,0)</f>
        <v>0</v>
      </c>
      <c r="E6" s="52"/>
      <c r="G6" s="95"/>
      <c r="H6" s="97"/>
      <c r="I6" s="64">
        <v>3000</v>
      </c>
      <c r="J6" s="71">
        <f t="shared" si="0"/>
        <v>0</v>
      </c>
      <c r="K6" s="82"/>
    </row>
    <row r="7" spans="1:15" ht="12" thickBot="1" x14ac:dyDescent="0.25">
      <c r="A7" s="95"/>
      <c r="B7" s="97"/>
      <c r="C7" s="67">
        <v>8000</v>
      </c>
      <c r="D7" s="65">
        <f>ROUNDDOWN($A$3/C7,0)</f>
        <v>0</v>
      </c>
      <c r="E7" s="52"/>
      <c r="G7" s="96"/>
      <c r="H7" s="98"/>
      <c r="I7" s="48" t="s">
        <v>313</v>
      </c>
      <c r="J7" s="49">
        <f>SUM(J3:J6)</f>
        <v>0</v>
      </c>
      <c r="K7" s="53">
        <f>(2/prodtype)*J7*(J15/4)</f>
        <v>0</v>
      </c>
    </row>
    <row r="8" spans="1:15" x14ac:dyDescent="0.2">
      <c r="A8" s="95"/>
      <c r="B8" s="97"/>
      <c r="C8" s="48" t="s">
        <v>309</v>
      </c>
      <c r="D8" s="50">
        <f>SUM(D3:D7)</f>
        <v>1</v>
      </c>
      <c r="E8" s="53"/>
      <c r="G8" s="59" t="s">
        <v>322</v>
      </c>
      <c r="H8" s="60" t="s">
        <v>315</v>
      </c>
      <c r="I8" s="61" t="s">
        <v>316</v>
      </c>
      <c r="J8" s="62" t="s">
        <v>317</v>
      </c>
      <c r="K8" s="63" t="s">
        <v>319</v>
      </c>
    </row>
    <row r="9" spans="1:15" x14ac:dyDescent="0.2">
      <c r="A9" s="95"/>
      <c r="B9" s="97"/>
      <c r="C9" s="68" t="s">
        <v>310</v>
      </c>
      <c r="D9" s="65">
        <f>(IF($A$15&gt;synergy,1,0))*(IF($A$3&gt;synergy,1,0))</f>
        <v>0</v>
      </c>
      <c r="E9" s="52"/>
      <c r="G9" s="94">
        <v>0</v>
      </c>
      <c r="H9" s="99" t="s">
        <v>4</v>
      </c>
      <c r="I9" s="64">
        <v>0</v>
      </c>
      <c r="J9" s="71">
        <f>IF($G$9&gt;I9,1,0)</f>
        <v>0</v>
      </c>
      <c r="K9" s="82"/>
    </row>
    <row r="10" spans="1:15" x14ac:dyDescent="0.2">
      <c r="A10" s="95"/>
      <c r="B10" s="97"/>
      <c r="C10" s="68" t="s">
        <v>311</v>
      </c>
      <c r="D10" s="65">
        <f>(IF($A$25&gt;synergy,1,0))*(IF($A$3&gt;synergy,1,0))</f>
        <v>0</v>
      </c>
      <c r="E10" s="52"/>
      <c r="G10" s="95"/>
      <c r="H10" s="97"/>
      <c r="I10" s="64">
        <f>commsboost</f>
        <v>200</v>
      </c>
      <c r="J10" s="71">
        <f>IF($G$9&gt;I10,1,0)</f>
        <v>0</v>
      </c>
      <c r="K10" s="82"/>
    </row>
    <row r="11" spans="1:15" ht="12" thickBot="1" x14ac:dyDescent="0.25">
      <c r="A11" s="95"/>
      <c r="B11" s="97"/>
      <c r="C11" s="68" t="s">
        <v>312</v>
      </c>
      <c r="D11" s="65">
        <f>(IF($A$35&gt;synergy,1,0))*(IF($A$3&gt;synergy,1,0))</f>
        <v>0</v>
      </c>
      <c r="E11" s="52"/>
      <c r="G11" s="96"/>
      <c r="H11" s="98"/>
      <c r="I11" s="55" t="s">
        <v>313</v>
      </c>
      <c r="J11" s="70">
        <f>SUM(J9:J10)</f>
        <v>0</v>
      </c>
      <c r="K11" s="88">
        <f>(2/prodtype)*J11</f>
        <v>0</v>
      </c>
    </row>
    <row r="12" spans="1:15" ht="12" thickBot="1" x14ac:dyDescent="0.25">
      <c r="A12" s="96"/>
      <c r="B12" s="98"/>
      <c r="C12" s="55" t="s">
        <v>313</v>
      </c>
      <c r="D12" s="56">
        <f>SUM(D9:D11)+D8</f>
        <v>1</v>
      </c>
      <c r="E12" s="57">
        <f>D12*(20/prodtype)</f>
        <v>20</v>
      </c>
    </row>
    <row r="13" spans="1:15" ht="12" thickBot="1" x14ac:dyDescent="0.25">
      <c r="C13" s="48"/>
      <c r="D13" s="50"/>
      <c r="E13" s="49"/>
      <c r="G13" s="43" t="s">
        <v>325</v>
      </c>
      <c r="J13" s="44"/>
    </row>
    <row r="14" spans="1:15" x14ac:dyDescent="0.2">
      <c r="A14" s="59" t="s">
        <v>314</v>
      </c>
      <c r="B14" s="60" t="s">
        <v>315</v>
      </c>
      <c r="C14" s="61" t="s">
        <v>316</v>
      </c>
      <c r="D14" s="62" t="s">
        <v>317</v>
      </c>
      <c r="E14" s="63" t="s">
        <v>319</v>
      </c>
      <c r="G14" s="59"/>
      <c r="H14" s="60" t="s">
        <v>315</v>
      </c>
      <c r="I14" s="61"/>
      <c r="J14" s="62" t="s">
        <v>317</v>
      </c>
      <c r="K14" s="63" t="s">
        <v>318</v>
      </c>
    </row>
    <row r="15" spans="1:15" x14ac:dyDescent="0.2">
      <c r="A15" s="94">
        <v>0</v>
      </c>
      <c r="B15" s="97" t="s">
        <v>14</v>
      </c>
      <c r="C15" s="64">
        <v>20</v>
      </c>
      <c r="D15" s="65">
        <f>IF((A$15/prodtype)&gt;=C15,1,0)</f>
        <v>0</v>
      </c>
      <c r="E15" s="52"/>
      <c r="G15" s="73"/>
      <c r="H15" s="99" t="s">
        <v>237</v>
      </c>
      <c r="I15" s="84" t="s">
        <v>326</v>
      </c>
      <c r="J15" s="74">
        <f>D12+D22+D32+D42</f>
        <v>1</v>
      </c>
      <c r="K15" s="75">
        <f>(16/prodtype)*J15</f>
        <v>16</v>
      </c>
      <c r="L15" s="79"/>
      <c r="M15" s="79"/>
      <c r="O15" s="87"/>
    </row>
    <row r="16" spans="1:15" x14ac:dyDescent="0.2">
      <c r="A16" s="95"/>
      <c r="B16" s="97"/>
      <c r="C16" s="64">
        <v>800</v>
      </c>
      <c r="D16" s="65">
        <f>IF(A$15&gt;C16,1,0)</f>
        <v>0</v>
      </c>
      <c r="E16" s="52"/>
      <c r="G16" s="76"/>
      <c r="H16" s="100"/>
      <c r="I16" s="85" t="s">
        <v>327</v>
      </c>
      <c r="J16" s="77">
        <f>J7+J11</f>
        <v>0</v>
      </c>
      <c r="K16" s="80">
        <f>((4/prodtype)*J16)*(J15/4)</f>
        <v>0</v>
      </c>
      <c r="L16" s="87"/>
    </row>
    <row r="17" spans="1:11" ht="13.5" x14ac:dyDescent="0.2">
      <c r="A17" s="95"/>
      <c r="B17" s="97"/>
      <c r="C17" s="66">
        <v>1500</v>
      </c>
      <c r="D17" s="65">
        <f>IF(AND($A$3&gt;=baseprod)*A$15&gt;C17,1,0)</f>
        <v>0</v>
      </c>
      <c r="E17" s="52"/>
      <c r="G17" s="51"/>
      <c r="H17" s="58"/>
      <c r="J17" s="47"/>
      <c r="K17" s="81">
        <f>SUM(K15:K16)</f>
        <v>16</v>
      </c>
    </row>
    <row r="18" spans="1:11" x14ac:dyDescent="0.2">
      <c r="A18" s="95"/>
      <c r="B18" s="97"/>
      <c r="C18" s="66"/>
      <c r="D18" s="65"/>
      <c r="E18" s="52"/>
      <c r="G18" s="51"/>
      <c r="I18" s="48"/>
      <c r="K18" s="82"/>
    </row>
    <row r="19" spans="1:11" x14ac:dyDescent="0.2">
      <c r="A19" s="95"/>
      <c r="B19" s="97"/>
      <c r="C19" s="67">
        <v>8000</v>
      </c>
      <c r="D19" s="65">
        <f>ROUNDDOWN($A$15/C19,0)</f>
        <v>0</v>
      </c>
      <c r="E19" s="52"/>
      <c r="G19" s="73"/>
      <c r="H19" s="99" t="s">
        <v>4</v>
      </c>
      <c r="I19" s="84"/>
      <c r="J19" s="74">
        <f>J15</f>
        <v>1</v>
      </c>
      <c r="K19" s="89">
        <f>(2/prodtype)*J7*(J15/4)</f>
        <v>0</v>
      </c>
    </row>
    <row r="20" spans="1:11" x14ac:dyDescent="0.2">
      <c r="A20" s="95"/>
      <c r="B20" s="97"/>
      <c r="C20" s="48" t="s">
        <v>309</v>
      </c>
      <c r="D20" s="50">
        <f>SUM(D15:D19)</f>
        <v>0</v>
      </c>
      <c r="E20" s="53"/>
      <c r="G20" s="76"/>
      <c r="H20" s="100"/>
      <c r="I20" s="85"/>
      <c r="J20" s="77"/>
      <c r="K20" s="78"/>
    </row>
    <row r="21" spans="1:11" x14ac:dyDescent="0.2">
      <c r="A21" s="95"/>
      <c r="B21" s="97"/>
      <c r="C21" s="68" t="s">
        <v>304</v>
      </c>
      <c r="D21" s="65">
        <f>(IF($A$15&gt;synergy,1,0))*(IF($A$3&gt;synergy,1,0))</f>
        <v>0</v>
      </c>
      <c r="E21" s="52"/>
      <c r="G21" s="73"/>
      <c r="H21" s="99" t="s">
        <v>55</v>
      </c>
      <c r="I21" s="84"/>
      <c r="J21" s="74">
        <f>J15</f>
        <v>1</v>
      </c>
      <c r="K21" s="75">
        <f>(2/prodtype)*J21</f>
        <v>2</v>
      </c>
    </row>
    <row r="22" spans="1:11" ht="12" thickBot="1" x14ac:dyDescent="0.25">
      <c r="A22" s="96"/>
      <c r="B22" s="98"/>
      <c r="C22" s="55" t="s">
        <v>313</v>
      </c>
      <c r="D22" s="56">
        <f>SUM(D21)+D20</f>
        <v>0</v>
      </c>
      <c r="E22" s="57">
        <f>D22*(20/prodtype)</f>
        <v>0</v>
      </c>
      <c r="G22" s="51"/>
      <c r="H22" s="97"/>
      <c r="J22" s="47"/>
      <c r="K22" s="69"/>
    </row>
    <row r="23" spans="1:11" ht="12" thickBot="1" x14ac:dyDescent="0.25">
      <c r="C23" s="48"/>
      <c r="D23" s="50"/>
      <c r="E23" s="49"/>
      <c r="G23" s="73"/>
      <c r="H23" s="99" t="s">
        <v>53</v>
      </c>
      <c r="I23" s="84"/>
      <c r="J23" s="74">
        <f>J21</f>
        <v>1</v>
      </c>
      <c r="K23" s="75">
        <f>(2/prodtype)*J23</f>
        <v>2</v>
      </c>
    </row>
    <row r="24" spans="1:11" ht="12" thickBot="1" x14ac:dyDescent="0.25">
      <c r="A24" s="59" t="s">
        <v>314</v>
      </c>
      <c r="B24" s="60" t="s">
        <v>315</v>
      </c>
      <c r="C24" s="61" t="s">
        <v>316</v>
      </c>
      <c r="D24" s="62" t="s">
        <v>317</v>
      </c>
      <c r="E24" s="63" t="s">
        <v>319</v>
      </c>
      <c r="G24" s="54"/>
      <c r="H24" s="98"/>
      <c r="I24" s="86"/>
      <c r="J24" s="72"/>
      <c r="K24" s="83"/>
    </row>
    <row r="25" spans="1:11" x14ac:dyDescent="0.2">
      <c r="A25" s="94">
        <v>0</v>
      </c>
      <c r="B25" s="97" t="s">
        <v>127</v>
      </c>
      <c r="C25" s="64">
        <v>20</v>
      </c>
      <c r="D25" s="65">
        <f>IF((A$25/prodtype)&gt;=C25,1,0)</f>
        <v>0</v>
      </c>
      <c r="E25" s="52"/>
      <c r="J25" s="47"/>
    </row>
    <row r="26" spans="1:11" x14ac:dyDescent="0.2">
      <c r="A26" s="95"/>
      <c r="B26" s="97"/>
      <c r="C26" s="64"/>
      <c r="D26" s="65"/>
      <c r="E26" s="52"/>
      <c r="G26" s="43"/>
      <c r="I26" s="48"/>
      <c r="J26" s="44"/>
    </row>
    <row r="27" spans="1:11" x14ac:dyDescent="0.2">
      <c r="A27" s="95"/>
      <c r="B27" s="97"/>
      <c r="C27" s="66">
        <v>1000</v>
      </c>
      <c r="D27" s="65">
        <f>IF(AND($A$3&gt;=baseprod)*A$25&gt;C27,1,0)</f>
        <v>0</v>
      </c>
      <c r="E27" s="52"/>
    </row>
    <row r="28" spans="1:11" x14ac:dyDescent="0.2">
      <c r="A28" s="95"/>
      <c r="B28" s="97"/>
      <c r="C28" s="66"/>
      <c r="D28" s="65"/>
      <c r="E28" s="52"/>
      <c r="J28" s="47"/>
    </row>
    <row r="29" spans="1:11" x14ac:dyDescent="0.2">
      <c r="A29" s="95"/>
      <c r="B29" s="97"/>
      <c r="C29" s="67">
        <v>8000</v>
      </c>
      <c r="D29" s="65">
        <f>ROUNDDOWN($A$25/C29,0)</f>
        <v>0</v>
      </c>
      <c r="E29" s="52"/>
      <c r="I29" s="48"/>
      <c r="J29" s="49"/>
    </row>
    <row r="30" spans="1:11" x14ac:dyDescent="0.2">
      <c r="A30" s="95"/>
      <c r="B30" s="97"/>
      <c r="C30" s="48" t="s">
        <v>309</v>
      </c>
      <c r="D30" s="50">
        <f>SUM(D25:D29)</f>
        <v>0</v>
      </c>
      <c r="E30" s="53"/>
      <c r="G30" s="43"/>
    </row>
    <row r="31" spans="1:11" x14ac:dyDescent="0.2">
      <c r="A31" s="95"/>
      <c r="B31" s="97"/>
      <c r="C31" s="68" t="s">
        <v>304</v>
      </c>
      <c r="D31" s="65">
        <f>(IF($A$25&gt;synergy,1,0))*(IF($A$3&gt;synergy,1,0))</f>
        <v>0</v>
      </c>
      <c r="E31" s="52"/>
      <c r="J31" s="47"/>
    </row>
    <row r="32" spans="1:11" ht="12" thickBot="1" x14ac:dyDescent="0.25">
      <c r="A32" s="96"/>
      <c r="B32" s="98"/>
      <c r="C32" s="55" t="s">
        <v>313</v>
      </c>
      <c r="D32" s="56">
        <f>SUM(D31)+D30</f>
        <v>0</v>
      </c>
      <c r="E32" s="57">
        <f>D32*(20/prodtype)</f>
        <v>0</v>
      </c>
      <c r="I32" s="48"/>
      <c r="J32" s="49"/>
    </row>
    <row r="33" spans="1:5" ht="12" thickBot="1" x14ac:dyDescent="0.25">
      <c r="C33" s="48"/>
      <c r="D33" s="50"/>
      <c r="E33" s="49"/>
    </row>
    <row r="34" spans="1:5" x14ac:dyDescent="0.2">
      <c r="A34" s="59" t="s">
        <v>314</v>
      </c>
      <c r="B34" s="60" t="s">
        <v>315</v>
      </c>
      <c r="C34" s="61" t="s">
        <v>316</v>
      </c>
      <c r="D34" s="62" t="s">
        <v>317</v>
      </c>
      <c r="E34" s="63" t="s">
        <v>319</v>
      </c>
    </row>
    <row r="35" spans="1:5" x14ac:dyDescent="0.2">
      <c r="A35" s="94"/>
      <c r="B35" s="97"/>
      <c r="C35" s="64"/>
      <c r="D35" s="65"/>
      <c r="E35" s="52"/>
    </row>
    <row r="36" spans="1:5" x14ac:dyDescent="0.2">
      <c r="A36" s="95"/>
      <c r="B36" s="97"/>
      <c r="C36" s="64"/>
      <c r="D36" s="65"/>
      <c r="E36" s="52"/>
    </row>
    <row r="37" spans="1:5" x14ac:dyDescent="0.2">
      <c r="A37" s="95"/>
      <c r="B37" s="97"/>
      <c r="C37" s="66"/>
      <c r="D37" s="65"/>
      <c r="E37" s="52"/>
    </row>
    <row r="38" spans="1:5" x14ac:dyDescent="0.2">
      <c r="A38" s="95"/>
      <c r="B38" s="97"/>
      <c r="C38" s="66"/>
      <c r="D38" s="65"/>
      <c r="E38" s="52"/>
    </row>
    <row r="39" spans="1:5" x14ac:dyDescent="0.2">
      <c r="A39" s="95"/>
      <c r="B39" s="97"/>
      <c r="C39" s="67"/>
      <c r="D39" s="65"/>
      <c r="E39" s="52"/>
    </row>
    <row r="40" spans="1:5" x14ac:dyDescent="0.2">
      <c r="A40" s="95"/>
      <c r="B40" s="97"/>
      <c r="C40" s="48"/>
      <c r="D40" s="50"/>
      <c r="E40" s="53"/>
    </row>
    <row r="41" spans="1:5" x14ac:dyDescent="0.2">
      <c r="A41" s="95"/>
      <c r="B41" s="97"/>
      <c r="C41" s="68"/>
      <c r="D41" s="65"/>
      <c r="E41" s="52"/>
    </row>
    <row r="42" spans="1:5" ht="12" thickBot="1" x14ac:dyDescent="0.25">
      <c r="A42" s="96"/>
      <c r="B42" s="98"/>
      <c r="C42" s="55"/>
      <c r="D42" s="56"/>
      <c r="E42" s="57"/>
    </row>
  </sheetData>
  <mergeCells count="16">
    <mergeCell ref="H15:H16"/>
    <mergeCell ref="H19:H20"/>
    <mergeCell ref="H21:H22"/>
    <mergeCell ref="H23:H24"/>
    <mergeCell ref="A3:A12"/>
    <mergeCell ref="B3:B12"/>
    <mergeCell ref="G3:G7"/>
    <mergeCell ref="H3:H7"/>
    <mergeCell ref="G9:G11"/>
    <mergeCell ref="H9:H11"/>
    <mergeCell ref="A25:A32"/>
    <mergeCell ref="B25:B32"/>
    <mergeCell ref="A35:A42"/>
    <mergeCell ref="B35:B42"/>
    <mergeCell ref="A15:A22"/>
    <mergeCell ref="B15:B2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B06B7-5CDD-4D00-AC8A-45CF655CCED2}">
  <dimension ref="A1:O42"/>
  <sheetViews>
    <sheetView workbookViewId="0">
      <selection activeCell="A35" sqref="A35:E42"/>
    </sheetView>
  </sheetViews>
  <sheetFormatPr defaultRowHeight="11.25" x14ac:dyDescent="0.2"/>
  <cols>
    <col min="1" max="1" width="13.28515625" style="44" bestFit="1" customWidth="1"/>
    <col min="2" max="2" width="18.7109375" style="44" customWidth="1"/>
    <col min="3" max="3" width="9.7109375" style="45" customWidth="1"/>
    <col min="4" max="4" width="5.7109375" style="46" customWidth="1"/>
    <col min="5" max="5" width="10.7109375" style="46" customWidth="1"/>
    <col min="6" max="6" width="5.7109375" style="44" customWidth="1"/>
    <col min="7" max="7" width="17.42578125" style="44" bestFit="1" customWidth="1"/>
    <col min="8" max="8" width="18.7109375" style="44" customWidth="1"/>
    <col min="9" max="9" width="9.7109375" style="45" customWidth="1"/>
    <col min="10" max="10" width="5.7109375" style="46" customWidth="1"/>
    <col min="11" max="11" width="10.7109375" style="46" customWidth="1"/>
    <col min="12" max="16384" width="9.140625" style="44"/>
  </cols>
  <sheetData>
    <row r="1" spans="1:15" ht="12" thickBot="1" x14ac:dyDescent="0.25">
      <c r="A1" s="43" t="s">
        <v>323</v>
      </c>
      <c r="G1" s="43" t="s">
        <v>324</v>
      </c>
    </row>
    <row r="2" spans="1:15" x14ac:dyDescent="0.2">
      <c r="A2" s="59" t="s">
        <v>314</v>
      </c>
      <c r="B2" s="60" t="s">
        <v>315</v>
      </c>
      <c r="C2" s="61" t="s">
        <v>316</v>
      </c>
      <c r="D2" s="62" t="s">
        <v>317</v>
      </c>
      <c r="E2" s="63" t="s">
        <v>319</v>
      </c>
      <c r="G2" s="59" t="s">
        <v>322</v>
      </c>
      <c r="H2" s="60" t="s">
        <v>315</v>
      </c>
      <c r="I2" s="61" t="s">
        <v>316</v>
      </c>
      <c r="J2" s="62" t="s">
        <v>317</v>
      </c>
      <c r="K2" s="63" t="s">
        <v>319</v>
      </c>
    </row>
    <row r="3" spans="1:15" x14ac:dyDescent="0.2">
      <c r="A3" s="94">
        <v>20</v>
      </c>
      <c r="B3" s="97" t="s">
        <v>213</v>
      </c>
      <c r="C3" s="64">
        <v>20</v>
      </c>
      <c r="D3" s="65">
        <f>IF((A$3/prodtype)&gt;=C3,1,0)</f>
        <v>1</v>
      </c>
      <c r="E3" s="52"/>
      <c r="G3" s="94">
        <v>0</v>
      </c>
      <c r="H3" s="99" t="s">
        <v>66</v>
      </c>
      <c r="I3" s="64">
        <v>0</v>
      </c>
      <c r="J3" s="71">
        <f>IF($G$3&gt;I3,1,0)</f>
        <v>0</v>
      </c>
      <c r="K3" s="82"/>
    </row>
    <row r="4" spans="1:15" x14ac:dyDescent="0.2">
      <c r="A4" s="95"/>
      <c r="B4" s="97"/>
      <c r="C4" s="64">
        <v>500</v>
      </c>
      <c r="D4" s="65">
        <f>IF(A$3&gt;C4,1,0)</f>
        <v>0</v>
      </c>
      <c r="E4" s="52"/>
      <c r="G4" s="95"/>
      <c r="H4" s="97"/>
      <c r="I4" s="64">
        <f>ensp</f>
        <v>200</v>
      </c>
      <c r="J4" s="71">
        <f t="shared" ref="J4:J6" si="0">IF($G$3&gt;I4,1,0)</f>
        <v>0</v>
      </c>
      <c r="K4" s="82"/>
    </row>
    <row r="5" spans="1:15" x14ac:dyDescent="0.2">
      <c r="A5" s="95"/>
      <c r="B5" s="97"/>
      <c r="C5" s="66">
        <v>1000</v>
      </c>
      <c r="D5" s="65">
        <f>IF(AND($A$15&gt;=baseprod)*A$3&gt;C5,1,0)</f>
        <v>0</v>
      </c>
      <c r="E5" s="52"/>
      <c r="G5" s="95"/>
      <c r="H5" s="97"/>
      <c r="I5" s="64">
        <v>1000</v>
      </c>
      <c r="J5" s="71">
        <f t="shared" si="0"/>
        <v>0</v>
      </c>
      <c r="K5" s="82"/>
    </row>
    <row r="6" spans="1:15" x14ac:dyDescent="0.2">
      <c r="A6" s="95"/>
      <c r="B6" s="97"/>
      <c r="C6" s="66">
        <v>2500</v>
      </c>
      <c r="D6" s="65">
        <f>IF(AND($A$15&gt;=baseprod)*A$3&gt;C6,1,0)</f>
        <v>0</v>
      </c>
      <c r="E6" s="52"/>
      <c r="G6" s="95"/>
      <c r="H6" s="97"/>
      <c r="I6" s="64">
        <v>3000</v>
      </c>
      <c r="J6" s="71">
        <f t="shared" si="0"/>
        <v>0</v>
      </c>
      <c r="K6" s="82"/>
    </row>
    <row r="7" spans="1:15" ht="12" thickBot="1" x14ac:dyDescent="0.25">
      <c r="A7" s="95"/>
      <c r="B7" s="97"/>
      <c r="C7" s="67">
        <v>8000</v>
      </c>
      <c r="D7" s="65">
        <f>ROUNDDOWN($A$3/C7,0)</f>
        <v>0</v>
      </c>
      <c r="E7" s="52"/>
      <c r="G7" s="96"/>
      <c r="H7" s="98"/>
      <c r="I7" s="48" t="s">
        <v>313</v>
      </c>
      <c r="J7" s="49">
        <f>SUM(J3:J6)</f>
        <v>0</v>
      </c>
      <c r="K7" s="53">
        <f>(2/prodtype)*J7*(J15/4)</f>
        <v>0</v>
      </c>
    </row>
    <row r="8" spans="1:15" x14ac:dyDescent="0.2">
      <c r="A8" s="95"/>
      <c r="B8" s="97"/>
      <c r="C8" s="48" t="s">
        <v>309</v>
      </c>
      <c r="D8" s="50">
        <f>SUM(D3:D7)</f>
        <v>1</v>
      </c>
      <c r="E8" s="53"/>
      <c r="G8" s="59" t="s">
        <v>322</v>
      </c>
      <c r="H8" s="60" t="s">
        <v>315</v>
      </c>
      <c r="I8" s="61" t="s">
        <v>316</v>
      </c>
      <c r="J8" s="62" t="s">
        <v>317</v>
      </c>
      <c r="K8" s="63" t="s">
        <v>319</v>
      </c>
    </row>
    <row r="9" spans="1:15" x14ac:dyDescent="0.2">
      <c r="A9" s="95"/>
      <c r="B9" s="97"/>
      <c r="C9" s="68" t="s">
        <v>310</v>
      </c>
      <c r="D9" s="65">
        <f>(IF($A$15&gt;synergy,1,0))*(IF($A$3&gt;synergy,1,0))</f>
        <v>0</v>
      </c>
      <c r="E9" s="52"/>
      <c r="G9" s="94">
        <v>0</v>
      </c>
      <c r="H9" s="99" t="s">
        <v>4</v>
      </c>
      <c r="I9" s="64">
        <v>0</v>
      </c>
      <c r="J9" s="71">
        <f>IF($G$9&gt;I9,1,0)</f>
        <v>0</v>
      </c>
      <c r="K9" s="82"/>
    </row>
    <row r="10" spans="1:15" x14ac:dyDescent="0.2">
      <c r="A10" s="95"/>
      <c r="B10" s="97"/>
      <c r="C10" s="68" t="s">
        <v>311</v>
      </c>
      <c r="D10" s="65">
        <f>(IF($A$25&gt;synergy,1,0))*(IF($A$3&gt;synergy,1,0))</f>
        <v>0</v>
      </c>
      <c r="E10" s="52"/>
      <c r="G10" s="95"/>
      <c r="H10" s="97"/>
      <c r="I10" s="64">
        <f>commsboost</f>
        <v>200</v>
      </c>
      <c r="J10" s="71">
        <f>IF($G$9&gt;I10,1,0)</f>
        <v>0</v>
      </c>
      <c r="K10" s="82"/>
    </row>
    <row r="11" spans="1:15" ht="12" thickBot="1" x14ac:dyDescent="0.25">
      <c r="A11" s="95"/>
      <c r="B11" s="97"/>
      <c r="C11" s="68" t="s">
        <v>312</v>
      </c>
      <c r="D11" s="65">
        <f>(IF($A$35&gt;synergy,1,0))*(IF($A$3&gt;synergy,1,0))</f>
        <v>0</v>
      </c>
      <c r="E11" s="52"/>
      <c r="G11" s="96"/>
      <c r="H11" s="98"/>
      <c r="I11" s="55" t="s">
        <v>313</v>
      </c>
      <c r="J11" s="70">
        <f>SUM(J9:J10)</f>
        <v>0</v>
      </c>
      <c r="K11" s="88">
        <f>(2/prodtype)*J11</f>
        <v>0</v>
      </c>
    </row>
    <row r="12" spans="1:15" ht="12" thickBot="1" x14ac:dyDescent="0.25">
      <c r="A12" s="96"/>
      <c r="B12" s="98"/>
      <c r="C12" s="55" t="s">
        <v>313</v>
      </c>
      <c r="D12" s="56">
        <f>SUM(D9:D11)+D8</f>
        <v>1</v>
      </c>
      <c r="E12" s="57">
        <f>D12*(20/prodtype)</f>
        <v>20</v>
      </c>
    </row>
    <row r="13" spans="1:15" ht="12" thickBot="1" x14ac:dyDescent="0.25">
      <c r="C13" s="48"/>
      <c r="D13" s="50"/>
      <c r="E13" s="49"/>
      <c r="G13" s="43" t="s">
        <v>325</v>
      </c>
      <c r="J13" s="44"/>
    </row>
    <row r="14" spans="1:15" x14ac:dyDescent="0.2">
      <c r="A14" s="59" t="s">
        <v>314</v>
      </c>
      <c r="B14" s="60" t="s">
        <v>315</v>
      </c>
      <c r="C14" s="61" t="s">
        <v>316</v>
      </c>
      <c r="D14" s="62" t="s">
        <v>317</v>
      </c>
      <c r="E14" s="63" t="s">
        <v>319</v>
      </c>
      <c r="G14" s="59"/>
      <c r="H14" s="60" t="s">
        <v>315</v>
      </c>
      <c r="I14" s="61"/>
      <c r="J14" s="62" t="s">
        <v>317</v>
      </c>
      <c r="K14" s="63" t="s">
        <v>318</v>
      </c>
    </row>
    <row r="15" spans="1:15" x14ac:dyDescent="0.2">
      <c r="A15" s="94">
        <v>0</v>
      </c>
      <c r="B15" s="97" t="s">
        <v>14</v>
      </c>
      <c r="C15" s="64">
        <v>20</v>
      </c>
      <c r="D15" s="65">
        <f>IF((A$15/prodtype)&gt;=C15,1,0)</f>
        <v>0</v>
      </c>
      <c r="E15" s="52"/>
      <c r="G15" s="73"/>
      <c r="H15" s="99" t="s">
        <v>217</v>
      </c>
      <c r="I15" s="84" t="s">
        <v>326</v>
      </c>
      <c r="J15" s="74">
        <f>D12+D22+D32+D42</f>
        <v>1</v>
      </c>
      <c r="K15" s="75">
        <f>(16/prodtype)*J15</f>
        <v>16</v>
      </c>
      <c r="L15" s="79"/>
      <c r="M15" s="79"/>
      <c r="O15" s="87"/>
    </row>
    <row r="16" spans="1:15" x14ac:dyDescent="0.2">
      <c r="A16" s="95"/>
      <c r="B16" s="97"/>
      <c r="C16" s="64">
        <v>800</v>
      </c>
      <c r="D16" s="65">
        <f>IF(A$15&gt;C16,1,0)</f>
        <v>0</v>
      </c>
      <c r="E16" s="52"/>
      <c r="G16" s="76"/>
      <c r="H16" s="100"/>
      <c r="I16" s="85" t="s">
        <v>327</v>
      </c>
      <c r="J16" s="77">
        <f>J7+J11</f>
        <v>0</v>
      </c>
      <c r="K16" s="80">
        <f>((4/prodtype)*J16)*(J15/4)</f>
        <v>0</v>
      </c>
      <c r="L16" s="87"/>
    </row>
    <row r="17" spans="1:11" ht="13.5" x14ac:dyDescent="0.2">
      <c r="A17" s="95"/>
      <c r="B17" s="97"/>
      <c r="C17" s="66">
        <v>1500</v>
      </c>
      <c r="D17" s="65">
        <f>IF(AND($A$3&gt;=baseprod)*A$15&gt;C17,1,0)</f>
        <v>0</v>
      </c>
      <c r="E17" s="52"/>
      <c r="G17" s="51"/>
      <c r="H17" s="58"/>
      <c r="J17" s="47"/>
      <c r="K17" s="81">
        <f>SUM(K15:K16)</f>
        <v>16</v>
      </c>
    </row>
    <row r="18" spans="1:11" x14ac:dyDescent="0.2">
      <c r="A18" s="95"/>
      <c r="B18" s="97"/>
      <c r="C18" s="66"/>
      <c r="D18" s="65"/>
      <c r="E18" s="52"/>
      <c r="G18" s="51"/>
      <c r="I18" s="48"/>
      <c r="K18" s="82"/>
    </row>
    <row r="19" spans="1:11" x14ac:dyDescent="0.2">
      <c r="A19" s="95"/>
      <c r="B19" s="97"/>
      <c r="C19" s="67">
        <v>8000</v>
      </c>
      <c r="D19" s="65">
        <f>ROUNDDOWN($A$15/C19,0)</f>
        <v>0</v>
      </c>
      <c r="E19" s="52"/>
      <c r="G19" s="73"/>
      <c r="H19" s="99" t="s">
        <v>4</v>
      </c>
      <c r="I19" s="84"/>
      <c r="J19" s="74">
        <f>J15</f>
        <v>1</v>
      </c>
      <c r="K19" s="89">
        <f>(2/prodtype)*J7*(J15/4)</f>
        <v>0</v>
      </c>
    </row>
    <row r="20" spans="1:11" x14ac:dyDescent="0.2">
      <c r="A20" s="95"/>
      <c r="B20" s="97"/>
      <c r="C20" s="48" t="s">
        <v>309</v>
      </c>
      <c r="D20" s="50">
        <f>SUM(D15:D19)</f>
        <v>0</v>
      </c>
      <c r="E20" s="53"/>
      <c r="G20" s="76"/>
      <c r="H20" s="100"/>
      <c r="I20" s="85"/>
      <c r="J20" s="77"/>
      <c r="K20" s="78"/>
    </row>
    <row r="21" spans="1:11" x14ac:dyDescent="0.2">
      <c r="A21" s="95"/>
      <c r="B21" s="97"/>
      <c r="C21" s="68" t="s">
        <v>304</v>
      </c>
      <c r="D21" s="65">
        <f>(IF($A$15&gt;synergy,1,0))*(IF($A$3&gt;synergy,1,0))</f>
        <v>0</v>
      </c>
      <c r="E21" s="52"/>
      <c r="G21" s="73"/>
      <c r="H21" s="99" t="s">
        <v>55</v>
      </c>
      <c r="I21" s="84"/>
      <c r="J21" s="74">
        <f>J15</f>
        <v>1</v>
      </c>
      <c r="K21" s="75">
        <f>(2/prodtype)*J21</f>
        <v>2</v>
      </c>
    </row>
    <row r="22" spans="1:11" ht="12" thickBot="1" x14ac:dyDescent="0.25">
      <c r="A22" s="96"/>
      <c r="B22" s="98"/>
      <c r="C22" s="55" t="s">
        <v>313</v>
      </c>
      <c r="D22" s="56">
        <f>SUM(D21)+D20</f>
        <v>0</v>
      </c>
      <c r="E22" s="57">
        <f>D22*(20/prodtype)</f>
        <v>0</v>
      </c>
      <c r="G22" s="51"/>
      <c r="H22" s="97"/>
      <c r="J22" s="47"/>
      <c r="K22" s="69"/>
    </row>
    <row r="23" spans="1:11" ht="12" thickBot="1" x14ac:dyDescent="0.25">
      <c r="C23" s="48"/>
      <c r="D23" s="50"/>
      <c r="E23" s="49"/>
      <c r="G23" s="73"/>
      <c r="H23" s="99" t="s">
        <v>53</v>
      </c>
      <c r="I23" s="84"/>
      <c r="J23" s="74">
        <f>J21</f>
        <v>1</v>
      </c>
      <c r="K23" s="75">
        <f>(2/prodtype)*J23</f>
        <v>2</v>
      </c>
    </row>
    <row r="24" spans="1:11" ht="12" thickBot="1" x14ac:dyDescent="0.25">
      <c r="A24" s="59" t="s">
        <v>314</v>
      </c>
      <c r="B24" s="60" t="s">
        <v>315</v>
      </c>
      <c r="C24" s="61" t="s">
        <v>316</v>
      </c>
      <c r="D24" s="62" t="s">
        <v>317</v>
      </c>
      <c r="E24" s="63" t="s">
        <v>319</v>
      </c>
      <c r="G24" s="54"/>
      <c r="H24" s="98"/>
      <c r="I24" s="86"/>
      <c r="J24" s="72"/>
      <c r="K24" s="83"/>
    </row>
    <row r="25" spans="1:11" x14ac:dyDescent="0.2">
      <c r="A25" s="94">
        <v>0</v>
      </c>
      <c r="B25" s="97" t="s">
        <v>127</v>
      </c>
      <c r="C25" s="64">
        <v>20</v>
      </c>
      <c r="D25" s="65">
        <f>IF((A$25/prodtype)&gt;=C25,1,0)</f>
        <v>0</v>
      </c>
      <c r="E25" s="52"/>
      <c r="J25" s="47"/>
    </row>
    <row r="26" spans="1:11" x14ac:dyDescent="0.2">
      <c r="A26" s="95"/>
      <c r="B26" s="97"/>
      <c r="C26" s="64"/>
      <c r="D26" s="65"/>
      <c r="E26" s="52"/>
      <c r="G26" s="43"/>
      <c r="I26" s="48"/>
      <c r="J26" s="44"/>
    </row>
    <row r="27" spans="1:11" x14ac:dyDescent="0.2">
      <c r="A27" s="95"/>
      <c r="B27" s="97"/>
      <c r="C27" s="66">
        <v>1000</v>
      </c>
      <c r="D27" s="65">
        <f>IF(AND($A$3&gt;=baseprod)*A$25&gt;C27,1,0)</f>
        <v>0</v>
      </c>
      <c r="E27" s="52"/>
    </row>
    <row r="28" spans="1:11" x14ac:dyDescent="0.2">
      <c r="A28" s="95"/>
      <c r="B28" s="97"/>
      <c r="C28" s="66"/>
      <c r="D28" s="65"/>
      <c r="E28" s="52"/>
      <c r="J28" s="47"/>
    </row>
    <row r="29" spans="1:11" x14ac:dyDescent="0.2">
      <c r="A29" s="95"/>
      <c r="B29" s="97"/>
      <c r="C29" s="67">
        <v>8000</v>
      </c>
      <c r="D29" s="65">
        <f>ROUNDDOWN($A$25/C29,0)</f>
        <v>0</v>
      </c>
      <c r="E29" s="52"/>
      <c r="I29" s="48"/>
      <c r="J29" s="49"/>
    </row>
    <row r="30" spans="1:11" x14ac:dyDescent="0.2">
      <c r="A30" s="95"/>
      <c r="B30" s="97"/>
      <c r="C30" s="48" t="s">
        <v>309</v>
      </c>
      <c r="D30" s="50">
        <f>SUM(D25:D29)</f>
        <v>0</v>
      </c>
      <c r="E30" s="53"/>
      <c r="G30" s="43"/>
    </row>
    <row r="31" spans="1:11" x14ac:dyDescent="0.2">
      <c r="A31" s="95"/>
      <c r="B31" s="97"/>
      <c r="C31" s="68" t="s">
        <v>304</v>
      </c>
      <c r="D31" s="65">
        <f>(IF($A$25&gt;synergy,1,0))*(IF($A$3&gt;synergy,1,0))</f>
        <v>0</v>
      </c>
      <c r="E31" s="52"/>
      <c r="J31" s="47"/>
    </row>
    <row r="32" spans="1:11" ht="12" thickBot="1" x14ac:dyDescent="0.25">
      <c r="A32" s="96"/>
      <c r="B32" s="98"/>
      <c r="C32" s="55" t="s">
        <v>313</v>
      </c>
      <c r="D32" s="56">
        <f>SUM(D31)+D30</f>
        <v>0</v>
      </c>
      <c r="E32" s="57">
        <f>D32*(20/prodtype)</f>
        <v>0</v>
      </c>
      <c r="I32" s="48"/>
      <c r="J32" s="49"/>
    </row>
    <row r="33" spans="1:5" ht="12" thickBot="1" x14ac:dyDescent="0.25">
      <c r="C33" s="48"/>
      <c r="D33" s="50"/>
      <c r="E33" s="49"/>
    </row>
    <row r="34" spans="1:5" x14ac:dyDescent="0.2">
      <c r="A34" s="59" t="s">
        <v>314</v>
      </c>
      <c r="B34" s="60" t="s">
        <v>315</v>
      </c>
      <c r="C34" s="61" t="s">
        <v>316</v>
      </c>
      <c r="D34" s="62" t="s">
        <v>317</v>
      </c>
      <c r="E34" s="63" t="s">
        <v>319</v>
      </c>
    </row>
    <row r="35" spans="1:5" x14ac:dyDescent="0.2">
      <c r="A35" s="94"/>
      <c r="B35" s="97"/>
      <c r="C35" s="64"/>
      <c r="D35" s="65"/>
      <c r="E35" s="52"/>
    </row>
    <row r="36" spans="1:5" x14ac:dyDescent="0.2">
      <c r="A36" s="95"/>
      <c r="B36" s="97"/>
      <c r="C36" s="64"/>
      <c r="D36" s="65"/>
      <c r="E36" s="52"/>
    </row>
    <row r="37" spans="1:5" x14ac:dyDescent="0.2">
      <c r="A37" s="95"/>
      <c r="B37" s="97"/>
      <c r="C37" s="66"/>
      <c r="D37" s="65"/>
      <c r="E37" s="52"/>
    </row>
    <row r="38" spans="1:5" x14ac:dyDescent="0.2">
      <c r="A38" s="95"/>
      <c r="B38" s="97"/>
      <c r="C38" s="66"/>
      <c r="D38" s="65"/>
      <c r="E38" s="52"/>
    </row>
    <row r="39" spans="1:5" x14ac:dyDescent="0.2">
      <c r="A39" s="95"/>
      <c r="B39" s="97"/>
      <c r="C39" s="67"/>
      <c r="D39" s="65"/>
      <c r="E39" s="52"/>
    </row>
    <row r="40" spans="1:5" x14ac:dyDescent="0.2">
      <c r="A40" s="95"/>
      <c r="B40" s="97"/>
      <c r="C40" s="48"/>
      <c r="D40" s="50"/>
      <c r="E40" s="53"/>
    </row>
    <row r="41" spans="1:5" x14ac:dyDescent="0.2">
      <c r="A41" s="95"/>
      <c r="B41" s="97"/>
      <c r="C41" s="68"/>
      <c r="D41" s="65"/>
      <c r="E41" s="52"/>
    </row>
    <row r="42" spans="1:5" ht="12" thickBot="1" x14ac:dyDescent="0.25">
      <c r="A42" s="96"/>
      <c r="B42" s="98"/>
      <c r="C42" s="55"/>
      <c r="D42" s="56"/>
      <c r="E42" s="57"/>
    </row>
  </sheetData>
  <mergeCells count="16">
    <mergeCell ref="H15:H16"/>
    <mergeCell ref="H19:H20"/>
    <mergeCell ref="H21:H22"/>
    <mergeCell ref="H23:H24"/>
    <mergeCell ref="A3:A12"/>
    <mergeCell ref="B3:B12"/>
    <mergeCell ref="G3:G7"/>
    <mergeCell ref="H3:H7"/>
    <mergeCell ref="G9:G11"/>
    <mergeCell ref="H9:H11"/>
    <mergeCell ref="A25:A32"/>
    <mergeCell ref="B25:B32"/>
    <mergeCell ref="A35:A42"/>
    <mergeCell ref="B35:B42"/>
    <mergeCell ref="A15:A22"/>
    <mergeCell ref="B15:B2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285D9-1498-494B-B63D-0C9A7E7CE9EC}">
  <dimension ref="A1:O42"/>
  <sheetViews>
    <sheetView workbookViewId="0">
      <selection activeCell="C28" sqref="C28"/>
    </sheetView>
  </sheetViews>
  <sheetFormatPr defaultRowHeight="11.25" x14ac:dyDescent="0.2"/>
  <cols>
    <col min="1" max="1" width="13.28515625" style="44" bestFit="1" customWidth="1"/>
    <col min="2" max="2" width="18.7109375" style="44" customWidth="1"/>
    <col min="3" max="3" width="9.7109375" style="45" customWidth="1"/>
    <col min="4" max="4" width="5.7109375" style="46" customWidth="1"/>
    <col min="5" max="5" width="10.7109375" style="46" customWidth="1"/>
    <col min="6" max="6" width="5.7109375" style="44" customWidth="1"/>
    <col min="7" max="7" width="17.42578125" style="44" bestFit="1" customWidth="1"/>
    <col min="8" max="8" width="18.7109375" style="44" customWidth="1"/>
    <col min="9" max="9" width="9.7109375" style="45" customWidth="1"/>
    <col min="10" max="10" width="5.7109375" style="46" customWidth="1"/>
    <col min="11" max="11" width="10.7109375" style="46" customWidth="1"/>
    <col min="12" max="16384" width="9.140625" style="44"/>
  </cols>
  <sheetData>
    <row r="1" spans="1:15" ht="12" thickBot="1" x14ac:dyDescent="0.25">
      <c r="A1" s="43" t="s">
        <v>323</v>
      </c>
      <c r="G1" s="43" t="s">
        <v>324</v>
      </c>
    </row>
    <row r="2" spans="1:15" x14ac:dyDescent="0.2">
      <c r="A2" s="59" t="s">
        <v>314</v>
      </c>
      <c r="B2" s="60" t="s">
        <v>315</v>
      </c>
      <c r="C2" s="61" t="s">
        <v>316</v>
      </c>
      <c r="D2" s="62" t="s">
        <v>317</v>
      </c>
      <c r="E2" s="63" t="s">
        <v>319</v>
      </c>
      <c r="G2" s="59" t="s">
        <v>322</v>
      </c>
      <c r="H2" s="60" t="s">
        <v>315</v>
      </c>
      <c r="I2" s="61" t="s">
        <v>316</v>
      </c>
      <c r="J2" s="62" t="s">
        <v>317</v>
      </c>
      <c r="K2" s="63" t="s">
        <v>319</v>
      </c>
    </row>
    <row r="3" spans="1:15" x14ac:dyDescent="0.2">
      <c r="A3" s="94">
        <v>20</v>
      </c>
      <c r="B3" s="97" t="s">
        <v>67</v>
      </c>
      <c r="C3" s="64">
        <v>20</v>
      </c>
      <c r="D3" s="65">
        <f>IF((A$3/prodtype)&gt;=C3,1,0)</f>
        <v>1</v>
      </c>
      <c r="E3" s="52"/>
      <c r="G3" s="94">
        <v>0</v>
      </c>
      <c r="H3" s="99" t="s">
        <v>66</v>
      </c>
      <c r="I3" s="64">
        <v>0</v>
      </c>
      <c r="J3" s="71">
        <f>IF($G$3&gt;I3,1,0)</f>
        <v>0</v>
      </c>
      <c r="K3" s="82"/>
    </row>
    <row r="4" spans="1:15" x14ac:dyDescent="0.2">
      <c r="A4" s="95"/>
      <c r="B4" s="97"/>
      <c r="C4" s="64">
        <v>500</v>
      </c>
      <c r="D4" s="65">
        <f>IF(A$3&gt;C4,1,0)</f>
        <v>0</v>
      </c>
      <c r="E4" s="52"/>
      <c r="G4" s="95"/>
      <c r="H4" s="97"/>
      <c r="I4" s="64">
        <f>ensp</f>
        <v>200</v>
      </c>
      <c r="J4" s="71">
        <f t="shared" ref="J4:J6" si="0">IF($G$3&gt;I4,1,0)</f>
        <v>0</v>
      </c>
      <c r="K4" s="82"/>
    </row>
    <row r="5" spans="1:15" x14ac:dyDescent="0.2">
      <c r="A5" s="95"/>
      <c r="B5" s="97"/>
      <c r="C5" s="66">
        <v>1000</v>
      </c>
      <c r="D5" s="65">
        <f>IF(AND($A$15&gt;=baseprod)*A$3&gt;C5,1,0)</f>
        <v>0</v>
      </c>
      <c r="E5" s="52"/>
      <c r="G5" s="95"/>
      <c r="H5" s="97"/>
      <c r="I5" s="64">
        <v>1000</v>
      </c>
      <c r="J5" s="71">
        <f t="shared" si="0"/>
        <v>0</v>
      </c>
      <c r="K5" s="82"/>
    </row>
    <row r="6" spans="1:15" x14ac:dyDescent="0.2">
      <c r="A6" s="95"/>
      <c r="B6" s="97"/>
      <c r="C6" s="66">
        <v>2500</v>
      </c>
      <c r="D6" s="65">
        <f>IF(AND($A$15&gt;=baseprod)*A$3&gt;C6,1,0)</f>
        <v>0</v>
      </c>
      <c r="E6" s="52"/>
      <c r="G6" s="95"/>
      <c r="H6" s="97"/>
      <c r="I6" s="64">
        <v>3000</v>
      </c>
      <c r="J6" s="71">
        <f t="shared" si="0"/>
        <v>0</v>
      </c>
      <c r="K6" s="82"/>
    </row>
    <row r="7" spans="1:15" ht="12" thickBot="1" x14ac:dyDescent="0.25">
      <c r="A7" s="95"/>
      <c r="B7" s="97"/>
      <c r="C7" s="67">
        <v>8000</v>
      </c>
      <c r="D7" s="65">
        <f>ROUNDDOWN($A$3/C7,0)</f>
        <v>0</v>
      </c>
      <c r="E7" s="52"/>
      <c r="G7" s="96"/>
      <c r="H7" s="98"/>
      <c r="I7" s="48" t="s">
        <v>313</v>
      </c>
      <c r="J7" s="49">
        <f>SUM(J3:J6)</f>
        <v>0</v>
      </c>
      <c r="K7" s="53">
        <f>(2/prodtype)*J7*(J15/4)</f>
        <v>0</v>
      </c>
    </row>
    <row r="8" spans="1:15" x14ac:dyDescent="0.2">
      <c r="A8" s="95"/>
      <c r="B8" s="97"/>
      <c r="C8" s="48" t="s">
        <v>309</v>
      </c>
      <c r="D8" s="50">
        <f>SUM(D3:D7)</f>
        <v>1</v>
      </c>
      <c r="E8" s="53"/>
      <c r="G8" s="59" t="s">
        <v>322</v>
      </c>
      <c r="H8" s="60" t="s">
        <v>315</v>
      </c>
      <c r="I8" s="61" t="s">
        <v>316</v>
      </c>
      <c r="J8" s="62" t="s">
        <v>317</v>
      </c>
      <c r="K8" s="63" t="s">
        <v>319</v>
      </c>
    </row>
    <row r="9" spans="1:15" x14ac:dyDescent="0.2">
      <c r="A9" s="95"/>
      <c r="B9" s="97"/>
      <c r="C9" s="68" t="s">
        <v>310</v>
      </c>
      <c r="D9" s="65">
        <f>(IF($A$15&gt;synergy,1,0))*(IF($A$3&gt;synergy,1,0))</f>
        <v>0</v>
      </c>
      <c r="E9" s="52"/>
      <c r="G9" s="94">
        <v>0</v>
      </c>
      <c r="H9" s="99" t="s">
        <v>4</v>
      </c>
      <c r="I9" s="64">
        <v>0</v>
      </c>
      <c r="J9" s="71">
        <f>IF($G$9&gt;I9,1,0)</f>
        <v>0</v>
      </c>
      <c r="K9" s="82"/>
    </row>
    <row r="10" spans="1:15" x14ac:dyDescent="0.2">
      <c r="A10" s="95"/>
      <c r="B10" s="97"/>
      <c r="C10" s="68" t="s">
        <v>311</v>
      </c>
      <c r="D10" s="65">
        <f>(IF($A$25&gt;synergy,1,0))*(IF($A$3&gt;synergy,1,0))</f>
        <v>0</v>
      </c>
      <c r="E10" s="52"/>
      <c r="G10" s="95"/>
      <c r="H10" s="97"/>
      <c r="I10" s="64">
        <f>commsboost</f>
        <v>200</v>
      </c>
      <c r="J10" s="71">
        <f>IF($G$9&gt;I10,1,0)</f>
        <v>0</v>
      </c>
      <c r="K10" s="82"/>
    </row>
    <row r="11" spans="1:15" ht="12" thickBot="1" x14ac:dyDescent="0.25">
      <c r="A11" s="95"/>
      <c r="B11" s="97"/>
      <c r="C11" s="68" t="s">
        <v>312</v>
      </c>
      <c r="D11" s="65">
        <f>(IF($A$35&gt;synergy,1,0))*(IF($A$3&gt;synergy,1,0))</f>
        <v>0</v>
      </c>
      <c r="E11" s="52"/>
      <c r="G11" s="96"/>
      <c r="H11" s="98"/>
      <c r="I11" s="55" t="s">
        <v>313</v>
      </c>
      <c r="J11" s="70">
        <f>SUM(J9:J10)</f>
        <v>0</v>
      </c>
      <c r="K11" s="88">
        <f>(2/prodtype)*J11</f>
        <v>0</v>
      </c>
    </row>
    <row r="12" spans="1:15" ht="12" thickBot="1" x14ac:dyDescent="0.25">
      <c r="A12" s="96"/>
      <c r="B12" s="98"/>
      <c r="C12" s="55" t="s">
        <v>313</v>
      </c>
      <c r="D12" s="56">
        <f>SUM(D9:D11)+D8</f>
        <v>1</v>
      </c>
      <c r="E12" s="57">
        <f>D12*(20/prodtype)</f>
        <v>20</v>
      </c>
    </row>
    <row r="13" spans="1:15" ht="12" thickBot="1" x14ac:dyDescent="0.25">
      <c r="C13" s="48"/>
      <c r="D13" s="50"/>
      <c r="E13" s="49"/>
      <c r="G13" s="43" t="s">
        <v>325</v>
      </c>
      <c r="J13" s="44"/>
    </row>
    <row r="14" spans="1:15" x14ac:dyDescent="0.2">
      <c r="A14" s="59" t="s">
        <v>314</v>
      </c>
      <c r="B14" s="60" t="s">
        <v>315</v>
      </c>
      <c r="C14" s="61" t="s">
        <v>316</v>
      </c>
      <c r="D14" s="62" t="s">
        <v>317</v>
      </c>
      <c r="E14" s="63" t="s">
        <v>319</v>
      </c>
      <c r="G14" s="59"/>
      <c r="H14" s="60" t="s">
        <v>315</v>
      </c>
      <c r="I14" s="61"/>
      <c r="J14" s="62" t="s">
        <v>317</v>
      </c>
      <c r="K14" s="63" t="s">
        <v>318</v>
      </c>
    </row>
    <row r="15" spans="1:15" x14ac:dyDescent="0.2">
      <c r="A15" s="94">
        <v>0</v>
      </c>
      <c r="B15" s="97" t="s">
        <v>127</v>
      </c>
      <c r="C15" s="64">
        <v>20</v>
      </c>
      <c r="D15" s="65">
        <f>IF((A$15/prodtype)&gt;=C15,1,0)</f>
        <v>0</v>
      </c>
      <c r="E15" s="52"/>
      <c r="G15" s="73"/>
      <c r="H15" s="101" t="s">
        <v>329</v>
      </c>
      <c r="I15" s="84" t="s">
        <v>326</v>
      </c>
      <c r="J15" s="74">
        <f>D12+D22+D32+D42</f>
        <v>1</v>
      </c>
      <c r="K15" s="75">
        <f>(16/prodtype)*J15</f>
        <v>16</v>
      </c>
      <c r="L15" s="79"/>
      <c r="M15" s="79"/>
      <c r="O15" s="87"/>
    </row>
    <row r="16" spans="1:15" x14ac:dyDescent="0.2">
      <c r="A16" s="95"/>
      <c r="B16" s="97"/>
      <c r="C16" s="64">
        <v>800</v>
      </c>
      <c r="D16" s="65">
        <f>IF(A$15&gt;C16,1,0)</f>
        <v>0</v>
      </c>
      <c r="E16" s="52"/>
      <c r="G16" s="76"/>
      <c r="H16" s="100"/>
      <c r="I16" s="85" t="s">
        <v>327</v>
      </c>
      <c r="J16" s="77">
        <f>J7+J11</f>
        <v>0</v>
      </c>
      <c r="K16" s="80">
        <f>((4/prodtype)*J16)*(J15/4)</f>
        <v>0</v>
      </c>
      <c r="L16" s="87"/>
    </row>
    <row r="17" spans="1:11" ht="13.5" x14ac:dyDescent="0.2">
      <c r="A17" s="95"/>
      <c r="B17" s="97"/>
      <c r="C17" s="66">
        <v>1500</v>
      </c>
      <c r="D17" s="65">
        <f>IF(AND($A$3&gt;=baseprod)*A$15&gt;C17,1,0)</f>
        <v>0</v>
      </c>
      <c r="E17" s="52"/>
      <c r="G17" s="51"/>
      <c r="H17" s="58"/>
      <c r="J17" s="47"/>
      <c r="K17" s="81">
        <f>SUM(K15:K16)</f>
        <v>16</v>
      </c>
    </row>
    <row r="18" spans="1:11" x14ac:dyDescent="0.2">
      <c r="A18" s="95"/>
      <c r="B18" s="97"/>
      <c r="C18" s="66"/>
      <c r="D18" s="65"/>
      <c r="E18" s="52"/>
      <c r="G18" s="51"/>
      <c r="I18" s="48"/>
      <c r="K18" s="82"/>
    </row>
    <row r="19" spans="1:11" x14ac:dyDescent="0.2">
      <c r="A19" s="95"/>
      <c r="B19" s="97"/>
      <c r="C19" s="67">
        <v>8000</v>
      </c>
      <c r="D19" s="65">
        <f>ROUNDDOWN($A$15/C19,0)</f>
        <v>0</v>
      </c>
      <c r="E19" s="52"/>
      <c r="G19" s="73"/>
      <c r="H19" s="99" t="s">
        <v>4</v>
      </c>
      <c r="I19" s="84"/>
      <c r="J19" s="74">
        <f>J15</f>
        <v>1</v>
      </c>
      <c r="K19" s="89">
        <f>(2/prodtype)*J7*(J15/4)</f>
        <v>0</v>
      </c>
    </row>
    <row r="20" spans="1:11" x14ac:dyDescent="0.2">
      <c r="A20" s="95"/>
      <c r="B20" s="97"/>
      <c r="C20" s="48" t="s">
        <v>309</v>
      </c>
      <c r="D20" s="50">
        <f>SUM(D15:D19)</f>
        <v>0</v>
      </c>
      <c r="E20" s="53"/>
      <c r="G20" s="76"/>
      <c r="H20" s="100"/>
      <c r="I20" s="85"/>
      <c r="J20" s="77"/>
      <c r="K20" s="78"/>
    </row>
    <row r="21" spans="1:11" x14ac:dyDescent="0.2">
      <c r="A21" s="95"/>
      <c r="B21" s="97"/>
      <c r="C21" s="68" t="s">
        <v>304</v>
      </c>
      <c r="D21" s="65">
        <f>(IF($A$15&gt;synergy,1,0))*(IF($A$3&gt;synergy,1,0))</f>
        <v>0</v>
      </c>
      <c r="E21" s="52"/>
      <c r="G21" s="73"/>
      <c r="H21" s="99" t="s">
        <v>55</v>
      </c>
      <c r="I21" s="84"/>
      <c r="J21" s="74">
        <f>J15</f>
        <v>1</v>
      </c>
      <c r="K21" s="75">
        <f>(2/prodtype)*J21</f>
        <v>2</v>
      </c>
    </row>
    <row r="22" spans="1:11" ht="12" thickBot="1" x14ac:dyDescent="0.25">
      <c r="A22" s="96"/>
      <c r="B22" s="98"/>
      <c r="C22" s="55" t="s">
        <v>313</v>
      </c>
      <c r="D22" s="56">
        <f>SUM(D21)+D20</f>
        <v>0</v>
      </c>
      <c r="E22" s="57">
        <f>D22*(20/prodtype)</f>
        <v>0</v>
      </c>
      <c r="G22" s="51"/>
      <c r="H22" s="97"/>
      <c r="J22" s="47"/>
      <c r="K22" s="69"/>
    </row>
    <row r="23" spans="1:11" ht="12" thickBot="1" x14ac:dyDescent="0.25">
      <c r="C23" s="48"/>
      <c r="D23" s="50"/>
      <c r="E23" s="49"/>
      <c r="G23" s="73"/>
      <c r="H23" s="99" t="s">
        <v>53</v>
      </c>
      <c r="I23" s="84"/>
      <c r="J23" s="74">
        <f>J21</f>
        <v>1</v>
      </c>
      <c r="K23" s="75">
        <f>(2/prodtype)*J23</f>
        <v>2</v>
      </c>
    </row>
    <row r="24" spans="1:11" ht="12" thickBot="1" x14ac:dyDescent="0.25">
      <c r="A24" s="59" t="s">
        <v>314</v>
      </c>
      <c r="B24" s="60" t="s">
        <v>315</v>
      </c>
      <c r="C24" s="61" t="s">
        <v>316</v>
      </c>
      <c r="D24" s="62" t="s">
        <v>317</v>
      </c>
      <c r="E24" s="63" t="s">
        <v>319</v>
      </c>
      <c r="G24" s="54"/>
      <c r="H24" s="98"/>
      <c r="I24" s="86"/>
      <c r="J24" s="72"/>
      <c r="K24" s="83"/>
    </row>
    <row r="25" spans="1:11" x14ac:dyDescent="0.2">
      <c r="A25" s="94">
        <v>0</v>
      </c>
      <c r="B25" s="97" t="s">
        <v>241</v>
      </c>
      <c r="C25" s="64">
        <v>20</v>
      </c>
      <c r="D25" s="65">
        <f>IF((A$25/prodtype)&gt;=C25,1,0)</f>
        <v>0</v>
      </c>
      <c r="E25" s="52"/>
      <c r="J25" s="47"/>
    </row>
    <row r="26" spans="1:11" x14ac:dyDescent="0.2">
      <c r="A26" s="95"/>
      <c r="B26" s="97"/>
      <c r="C26" s="64">
        <v>800</v>
      </c>
      <c r="D26" s="65"/>
      <c r="E26" s="52"/>
      <c r="G26" s="43"/>
      <c r="I26" s="48"/>
      <c r="J26" s="44"/>
    </row>
    <row r="27" spans="1:11" x14ac:dyDescent="0.2">
      <c r="A27" s="95"/>
      <c r="B27" s="97"/>
      <c r="C27" s="66">
        <v>1500</v>
      </c>
      <c r="D27" s="65">
        <f>IF(AND($A$3&gt;=baseprod)*A$25&gt;C27,1,0)</f>
        <v>0</v>
      </c>
      <c r="E27" s="52"/>
    </row>
    <row r="28" spans="1:11" x14ac:dyDescent="0.2">
      <c r="A28" s="95"/>
      <c r="B28" s="97"/>
      <c r="C28" s="66"/>
      <c r="D28" s="65"/>
      <c r="E28" s="52"/>
      <c r="J28" s="47"/>
    </row>
    <row r="29" spans="1:11" x14ac:dyDescent="0.2">
      <c r="A29" s="95"/>
      <c r="B29" s="97"/>
      <c r="C29" s="67">
        <v>8000</v>
      </c>
      <c r="D29" s="65">
        <f>ROUNDDOWN($A$25/C29,0)</f>
        <v>0</v>
      </c>
      <c r="E29" s="52"/>
      <c r="I29" s="48"/>
      <c r="J29" s="49"/>
    </row>
    <row r="30" spans="1:11" x14ac:dyDescent="0.2">
      <c r="A30" s="95"/>
      <c r="B30" s="97"/>
      <c r="C30" s="48" t="s">
        <v>309</v>
      </c>
      <c r="D30" s="50">
        <f>SUM(D25:D29)</f>
        <v>0</v>
      </c>
      <c r="E30" s="53"/>
      <c r="G30" s="43"/>
    </row>
    <row r="31" spans="1:11" x14ac:dyDescent="0.2">
      <c r="A31" s="95"/>
      <c r="B31" s="97"/>
      <c r="C31" s="68" t="s">
        <v>304</v>
      </c>
      <c r="D31" s="65">
        <f>(IF($A$25&gt;synergy,1,0))*(IF($A$3&gt;synergy,1,0))</f>
        <v>0</v>
      </c>
      <c r="E31" s="52"/>
      <c r="J31" s="47"/>
    </row>
    <row r="32" spans="1:11" ht="12" thickBot="1" x14ac:dyDescent="0.25">
      <c r="A32" s="96"/>
      <c r="B32" s="98"/>
      <c r="C32" s="55" t="s">
        <v>313</v>
      </c>
      <c r="D32" s="56">
        <f>SUM(D31)+D30</f>
        <v>0</v>
      </c>
      <c r="E32" s="57">
        <f>D32*(20/prodtype)</f>
        <v>0</v>
      </c>
      <c r="I32" s="48"/>
      <c r="J32" s="49"/>
    </row>
    <row r="33" spans="1:5" ht="12" thickBot="1" x14ac:dyDescent="0.25">
      <c r="C33" s="48"/>
      <c r="D33" s="50"/>
      <c r="E33" s="49"/>
    </row>
    <row r="34" spans="1:5" x14ac:dyDescent="0.2">
      <c r="A34" s="59" t="s">
        <v>314</v>
      </c>
      <c r="B34" s="60" t="s">
        <v>315</v>
      </c>
      <c r="C34" s="61" t="s">
        <v>316</v>
      </c>
      <c r="D34" s="62" t="s">
        <v>317</v>
      </c>
      <c r="E34" s="63" t="s">
        <v>319</v>
      </c>
    </row>
    <row r="35" spans="1:5" x14ac:dyDescent="0.2">
      <c r="A35" s="94"/>
      <c r="B35" s="97"/>
      <c r="C35" s="64"/>
      <c r="D35" s="65"/>
      <c r="E35" s="52"/>
    </row>
    <row r="36" spans="1:5" x14ac:dyDescent="0.2">
      <c r="A36" s="95"/>
      <c r="B36" s="97"/>
      <c r="C36" s="64"/>
      <c r="D36" s="65"/>
      <c r="E36" s="52"/>
    </row>
    <row r="37" spans="1:5" x14ac:dyDescent="0.2">
      <c r="A37" s="95"/>
      <c r="B37" s="97"/>
      <c r="C37" s="66"/>
      <c r="D37" s="65"/>
      <c r="E37" s="52"/>
    </row>
    <row r="38" spans="1:5" x14ac:dyDescent="0.2">
      <c r="A38" s="95"/>
      <c r="B38" s="97"/>
      <c r="C38" s="66"/>
      <c r="D38" s="65"/>
      <c r="E38" s="52"/>
    </row>
    <row r="39" spans="1:5" x14ac:dyDescent="0.2">
      <c r="A39" s="95"/>
      <c r="B39" s="97"/>
      <c r="C39" s="67"/>
      <c r="D39" s="65"/>
      <c r="E39" s="52"/>
    </row>
    <row r="40" spans="1:5" x14ac:dyDescent="0.2">
      <c r="A40" s="95"/>
      <c r="B40" s="97"/>
      <c r="C40" s="48"/>
      <c r="D40" s="50"/>
      <c r="E40" s="53"/>
    </row>
    <row r="41" spans="1:5" x14ac:dyDescent="0.2">
      <c r="A41" s="95"/>
      <c r="B41" s="97"/>
      <c r="C41" s="68"/>
      <c r="D41" s="65"/>
      <c r="E41" s="52"/>
    </row>
    <row r="42" spans="1:5" ht="12" thickBot="1" x14ac:dyDescent="0.25">
      <c r="A42" s="96"/>
      <c r="B42" s="98"/>
      <c r="C42" s="55"/>
      <c r="D42" s="56"/>
      <c r="E42" s="57"/>
    </row>
  </sheetData>
  <mergeCells count="16">
    <mergeCell ref="H15:H16"/>
    <mergeCell ref="H19:H20"/>
    <mergeCell ref="H21:H22"/>
    <mergeCell ref="H23:H24"/>
    <mergeCell ref="A3:A12"/>
    <mergeCell ref="B3:B12"/>
    <mergeCell ref="G3:G7"/>
    <mergeCell ref="H3:H7"/>
    <mergeCell ref="G9:G11"/>
    <mergeCell ref="H9:H11"/>
    <mergeCell ref="A25:A32"/>
    <mergeCell ref="B25:B32"/>
    <mergeCell ref="A35:A42"/>
    <mergeCell ref="B35:B42"/>
    <mergeCell ref="A15:A22"/>
    <mergeCell ref="B15:B2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3AB99-0BD1-4124-97C3-20EA3F22FDDB}">
  <dimension ref="A1:O42"/>
  <sheetViews>
    <sheetView workbookViewId="0">
      <selection activeCell="D6" sqref="D6"/>
    </sheetView>
  </sheetViews>
  <sheetFormatPr defaultRowHeight="11.25" x14ac:dyDescent="0.2"/>
  <cols>
    <col min="1" max="1" width="13.28515625" style="44" bestFit="1" customWidth="1"/>
    <col min="2" max="2" width="18.7109375" style="44" customWidth="1"/>
    <col min="3" max="3" width="9.7109375" style="45" customWidth="1"/>
    <col min="4" max="4" width="5.7109375" style="46" customWidth="1"/>
    <col min="5" max="5" width="10.7109375" style="46" customWidth="1"/>
    <col min="6" max="6" width="5.7109375" style="44" customWidth="1"/>
    <col min="7" max="7" width="17.42578125" style="44" bestFit="1" customWidth="1"/>
    <col min="8" max="8" width="18.7109375" style="44" customWidth="1"/>
    <col min="9" max="9" width="9.7109375" style="45" customWidth="1"/>
    <col min="10" max="10" width="5.7109375" style="46" customWidth="1"/>
    <col min="11" max="11" width="10.7109375" style="46" customWidth="1"/>
    <col min="12" max="16384" width="9.140625" style="44"/>
  </cols>
  <sheetData>
    <row r="1" spans="1:15" ht="12" thickBot="1" x14ac:dyDescent="0.25">
      <c r="A1" s="43" t="s">
        <v>323</v>
      </c>
      <c r="G1" s="43" t="s">
        <v>324</v>
      </c>
    </row>
    <row r="2" spans="1:15" x14ac:dyDescent="0.2">
      <c r="A2" s="59" t="s">
        <v>314</v>
      </c>
      <c r="B2" s="60" t="s">
        <v>315</v>
      </c>
      <c r="C2" s="61" t="s">
        <v>316</v>
      </c>
      <c r="D2" s="62" t="s">
        <v>317</v>
      </c>
      <c r="E2" s="63" t="s">
        <v>319</v>
      </c>
      <c r="G2" s="59" t="s">
        <v>322</v>
      </c>
      <c r="H2" s="60" t="s">
        <v>315</v>
      </c>
      <c r="I2" s="61" t="s">
        <v>316</v>
      </c>
      <c r="J2" s="62" t="s">
        <v>317</v>
      </c>
      <c r="K2" s="63" t="s">
        <v>319</v>
      </c>
    </row>
    <row r="3" spans="1:15" x14ac:dyDescent="0.2">
      <c r="A3" s="94">
        <v>20</v>
      </c>
      <c r="B3" s="97" t="s">
        <v>24</v>
      </c>
      <c r="C3" s="64">
        <v>20</v>
      </c>
      <c r="D3" s="65">
        <f>IF((A$3/prodtype)&gt;=C3,1,0)</f>
        <v>1</v>
      </c>
      <c r="E3" s="52"/>
      <c r="G3" s="94">
        <v>0</v>
      </c>
      <c r="H3" s="99" t="s">
        <v>66</v>
      </c>
      <c r="I3" s="64">
        <v>0</v>
      </c>
      <c r="J3" s="71">
        <f>IF($G$3&gt;I3,1,0)</f>
        <v>0</v>
      </c>
      <c r="K3" s="82"/>
    </row>
    <row r="4" spans="1:15" x14ac:dyDescent="0.2">
      <c r="A4" s="95"/>
      <c r="B4" s="97"/>
      <c r="C4" s="64">
        <v>500</v>
      </c>
      <c r="D4" s="65">
        <f>IF(A$3&gt;C4,1,0)</f>
        <v>0</v>
      </c>
      <c r="E4" s="52"/>
      <c r="G4" s="95"/>
      <c r="H4" s="97"/>
      <c r="I4" s="64">
        <f>ensp</f>
        <v>200</v>
      </c>
      <c r="J4" s="71">
        <f t="shared" ref="J4:J6" si="0">IF($G$3&gt;I4,1,0)</f>
        <v>0</v>
      </c>
      <c r="K4" s="82"/>
    </row>
    <row r="5" spans="1:15" x14ac:dyDescent="0.2">
      <c r="A5" s="95"/>
      <c r="B5" s="97"/>
      <c r="C5" s="66">
        <v>3000</v>
      </c>
      <c r="D5" s="65">
        <f>IF(AND($A$15&gt;=baseprod)*A$3&gt;C5,1,0)</f>
        <v>0</v>
      </c>
      <c r="E5" s="52"/>
      <c r="G5" s="95"/>
      <c r="H5" s="97"/>
      <c r="I5" s="64">
        <v>1000</v>
      </c>
      <c r="J5" s="71">
        <f t="shared" si="0"/>
        <v>0</v>
      </c>
      <c r="K5" s="82"/>
    </row>
    <row r="6" spans="1:15" x14ac:dyDescent="0.2">
      <c r="A6" s="95"/>
      <c r="B6" s="97"/>
      <c r="C6" s="66"/>
      <c r="D6" s="65"/>
      <c r="E6" s="52"/>
      <c r="G6" s="95"/>
      <c r="H6" s="97"/>
      <c r="I6" s="64">
        <v>3000</v>
      </c>
      <c r="J6" s="71">
        <f t="shared" si="0"/>
        <v>0</v>
      </c>
      <c r="K6" s="82"/>
    </row>
    <row r="7" spans="1:15" ht="12" thickBot="1" x14ac:dyDescent="0.25">
      <c r="A7" s="95"/>
      <c r="B7" s="97"/>
      <c r="C7" s="67">
        <v>8000</v>
      </c>
      <c r="D7" s="65">
        <f>ROUNDDOWN($A$3/C7,0)</f>
        <v>0</v>
      </c>
      <c r="E7" s="52"/>
      <c r="G7" s="96"/>
      <c r="H7" s="98"/>
      <c r="I7" s="48" t="s">
        <v>313</v>
      </c>
      <c r="J7" s="49">
        <f>SUM(J3:J6)</f>
        <v>0</v>
      </c>
      <c r="K7" s="53">
        <f>(2/prodtype)*J7*(J15/4)</f>
        <v>0</v>
      </c>
    </row>
    <row r="8" spans="1:15" x14ac:dyDescent="0.2">
      <c r="A8" s="95"/>
      <c r="B8" s="97"/>
      <c r="C8" s="48" t="s">
        <v>309</v>
      </c>
      <c r="D8" s="50">
        <f>SUM(D3:D7)</f>
        <v>1</v>
      </c>
      <c r="E8" s="53"/>
      <c r="G8" s="59" t="s">
        <v>322</v>
      </c>
      <c r="H8" s="60" t="s">
        <v>315</v>
      </c>
      <c r="I8" s="61" t="s">
        <v>316</v>
      </c>
      <c r="J8" s="62" t="s">
        <v>317</v>
      </c>
      <c r="K8" s="63" t="s">
        <v>319</v>
      </c>
    </row>
    <row r="9" spans="1:15" x14ac:dyDescent="0.2">
      <c r="A9" s="95"/>
      <c r="B9" s="97"/>
      <c r="C9" s="68" t="s">
        <v>310</v>
      </c>
      <c r="D9" s="65">
        <f>(IF($A$15&gt;synergy,1,0))*(IF($A$3&gt;synergy,1,0))</f>
        <v>0</v>
      </c>
      <c r="E9" s="52"/>
      <c r="G9" s="94">
        <v>0</v>
      </c>
      <c r="H9" s="99" t="s">
        <v>4</v>
      </c>
      <c r="I9" s="64">
        <v>0</v>
      </c>
      <c r="J9" s="71">
        <f>IF($G$9&gt;I9,1,0)</f>
        <v>0</v>
      </c>
      <c r="K9" s="82"/>
    </row>
    <row r="10" spans="1:15" x14ac:dyDescent="0.2">
      <c r="A10" s="95"/>
      <c r="B10" s="97"/>
      <c r="C10" s="68" t="s">
        <v>311</v>
      </c>
      <c r="D10" s="65">
        <f>(IF($A$25&gt;synergy,1,0))*(IF($A$3&gt;synergy,1,0))</f>
        <v>0</v>
      </c>
      <c r="E10" s="52"/>
      <c r="G10" s="95"/>
      <c r="H10" s="97"/>
      <c r="I10" s="64">
        <f>commsboost</f>
        <v>200</v>
      </c>
      <c r="J10" s="71">
        <f>IF($G$9&gt;I10,1,0)</f>
        <v>0</v>
      </c>
      <c r="K10" s="82"/>
    </row>
    <row r="11" spans="1:15" ht="12" thickBot="1" x14ac:dyDescent="0.25">
      <c r="A11" s="95"/>
      <c r="B11" s="97"/>
      <c r="C11" s="68" t="s">
        <v>312</v>
      </c>
      <c r="D11" s="65">
        <f>(IF($A$35&gt;synergy,1,0))*(IF($A$3&gt;synergy,1,0))</f>
        <v>0</v>
      </c>
      <c r="E11" s="52"/>
      <c r="G11" s="96"/>
      <c r="H11" s="98"/>
      <c r="I11" s="55" t="s">
        <v>313</v>
      </c>
      <c r="J11" s="70">
        <f>SUM(J9:J10)</f>
        <v>0</v>
      </c>
      <c r="K11" s="88">
        <f>(2/prodtype)*J11</f>
        <v>0</v>
      </c>
    </row>
    <row r="12" spans="1:15" ht="12" thickBot="1" x14ac:dyDescent="0.25">
      <c r="A12" s="96"/>
      <c r="B12" s="98"/>
      <c r="C12" s="55" t="s">
        <v>313</v>
      </c>
      <c r="D12" s="56">
        <f>SUM(D9:D11)+D8</f>
        <v>1</v>
      </c>
      <c r="E12" s="57">
        <f>D12*(20/prodtype)</f>
        <v>20</v>
      </c>
    </row>
    <row r="13" spans="1:15" ht="12" thickBot="1" x14ac:dyDescent="0.25">
      <c r="C13" s="48"/>
      <c r="D13" s="50"/>
      <c r="E13" s="49"/>
      <c r="G13" s="43" t="s">
        <v>325</v>
      </c>
      <c r="J13" s="44"/>
    </row>
    <row r="14" spans="1:15" x14ac:dyDescent="0.2">
      <c r="A14" s="59" t="s">
        <v>314</v>
      </c>
      <c r="B14" s="60" t="s">
        <v>315</v>
      </c>
      <c r="C14" s="61" t="s">
        <v>316</v>
      </c>
      <c r="D14" s="62" t="s">
        <v>317</v>
      </c>
      <c r="E14" s="63" t="s">
        <v>319</v>
      </c>
      <c r="G14" s="59"/>
      <c r="H14" s="60" t="s">
        <v>315</v>
      </c>
      <c r="I14" s="61"/>
      <c r="J14" s="62" t="s">
        <v>317</v>
      </c>
      <c r="K14" s="63" t="s">
        <v>318</v>
      </c>
    </row>
    <row r="15" spans="1:15" x14ac:dyDescent="0.2">
      <c r="A15" s="94">
        <v>0</v>
      </c>
      <c r="B15" s="97" t="s">
        <v>330</v>
      </c>
      <c r="C15" s="64">
        <v>20</v>
      </c>
      <c r="D15" s="65">
        <f>IF((A$15/prodtype)&gt;=C15,1,0)</f>
        <v>0</v>
      </c>
      <c r="E15" s="52"/>
      <c r="G15" s="73"/>
      <c r="H15" s="99" t="s">
        <v>128</v>
      </c>
      <c r="I15" s="84" t="s">
        <v>326</v>
      </c>
      <c r="J15" s="74">
        <f>D12+D22+D32+D42</f>
        <v>1</v>
      </c>
      <c r="K15" s="75">
        <f>(16/prodtype)*J15</f>
        <v>16</v>
      </c>
      <c r="L15" s="79"/>
      <c r="M15" s="79"/>
      <c r="O15" s="87"/>
    </row>
    <row r="16" spans="1:15" x14ac:dyDescent="0.2">
      <c r="A16" s="95"/>
      <c r="B16" s="97"/>
      <c r="C16" s="64"/>
      <c r="D16" s="65"/>
      <c r="E16" s="52"/>
      <c r="G16" s="76"/>
      <c r="H16" s="100"/>
      <c r="I16" s="85" t="s">
        <v>327</v>
      </c>
      <c r="J16" s="77">
        <f>J7+J11</f>
        <v>0</v>
      </c>
      <c r="K16" s="80">
        <f>((4/prodtype)*J16)*(J15/4)</f>
        <v>0</v>
      </c>
      <c r="L16" s="87"/>
    </row>
    <row r="17" spans="1:11" ht="13.5" x14ac:dyDescent="0.2">
      <c r="A17" s="95"/>
      <c r="B17" s="97"/>
      <c r="C17" s="66">
        <v>1000</v>
      </c>
      <c r="D17" s="65">
        <f>IF(AND($A$3&gt;=baseprod)*A$15&gt;C17,1,0)</f>
        <v>0</v>
      </c>
      <c r="E17" s="52"/>
      <c r="G17" s="51"/>
      <c r="H17" s="58"/>
      <c r="J17" s="47"/>
      <c r="K17" s="81">
        <f>SUM(K15:K16)</f>
        <v>16</v>
      </c>
    </row>
    <row r="18" spans="1:11" x14ac:dyDescent="0.2">
      <c r="A18" s="95"/>
      <c r="B18" s="97"/>
      <c r="C18" s="66"/>
      <c r="D18" s="65"/>
      <c r="E18" s="52"/>
      <c r="G18" s="51"/>
      <c r="I18" s="48"/>
      <c r="K18" s="82"/>
    </row>
    <row r="19" spans="1:11" x14ac:dyDescent="0.2">
      <c r="A19" s="95"/>
      <c r="B19" s="97"/>
      <c r="C19" s="67">
        <v>8000</v>
      </c>
      <c r="D19" s="65">
        <f>ROUNDDOWN($A$15/C19,0)</f>
        <v>0</v>
      </c>
      <c r="E19" s="52"/>
      <c r="G19" s="73"/>
      <c r="H19" s="99" t="s">
        <v>4</v>
      </c>
      <c r="I19" s="84"/>
      <c r="J19" s="74">
        <f>J15</f>
        <v>1</v>
      </c>
      <c r="K19" s="89">
        <f>(2/prodtype)*J7*(J15/4)</f>
        <v>0</v>
      </c>
    </row>
    <row r="20" spans="1:11" x14ac:dyDescent="0.2">
      <c r="A20" s="95"/>
      <c r="B20" s="97"/>
      <c r="C20" s="48" t="s">
        <v>309</v>
      </c>
      <c r="D20" s="50">
        <f>SUM(D15:D19)</f>
        <v>0</v>
      </c>
      <c r="E20" s="53"/>
      <c r="G20" s="76"/>
      <c r="H20" s="100"/>
      <c r="I20" s="85"/>
      <c r="J20" s="77"/>
      <c r="K20" s="78"/>
    </row>
    <row r="21" spans="1:11" x14ac:dyDescent="0.2">
      <c r="A21" s="95"/>
      <c r="B21" s="97"/>
      <c r="C21" s="68" t="s">
        <v>304</v>
      </c>
      <c r="D21" s="65">
        <f>(IF($A$15&gt;synergy,1,0))*(IF($A$3&gt;synergy,1,0))</f>
        <v>0</v>
      </c>
      <c r="E21" s="52"/>
      <c r="G21" s="73"/>
      <c r="H21" s="99" t="s">
        <v>55</v>
      </c>
      <c r="I21" s="84"/>
      <c r="J21" s="74">
        <f>J15</f>
        <v>1</v>
      </c>
      <c r="K21" s="75">
        <f>(2/prodtype)*J21</f>
        <v>2</v>
      </c>
    </row>
    <row r="22" spans="1:11" ht="12" thickBot="1" x14ac:dyDescent="0.25">
      <c r="A22" s="96"/>
      <c r="B22" s="98"/>
      <c r="C22" s="55" t="s">
        <v>313</v>
      </c>
      <c r="D22" s="56">
        <f>SUM(D21)+D20</f>
        <v>0</v>
      </c>
      <c r="E22" s="57">
        <f>D22*(20/prodtype)</f>
        <v>0</v>
      </c>
      <c r="G22" s="51"/>
      <c r="H22" s="97"/>
      <c r="J22" s="47"/>
      <c r="K22" s="69"/>
    </row>
    <row r="23" spans="1:11" ht="12" thickBot="1" x14ac:dyDescent="0.25">
      <c r="C23" s="48"/>
      <c r="D23" s="50"/>
      <c r="E23" s="49"/>
      <c r="G23" s="73"/>
      <c r="H23" s="99" t="s">
        <v>53</v>
      </c>
      <c r="I23" s="84"/>
      <c r="J23" s="74">
        <f>J21</f>
        <v>1</v>
      </c>
      <c r="K23" s="75">
        <f>(2/prodtype)*J23</f>
        <v>2</v>
      </c>
    </row>
    <row r="24" spans="1:11" ht="12" thickBot="1" x14ac:dyDescent="0.25">
      <c r="A24" s="59" t="s">
        <v>314</v>
      </c>
      <c r="B24" s="60" t="s">
        <v>315</v>
      </c>
      <c r="C24" s="61" t="s">
        <v>316</v>
      </c>
      <c r="D24" s="62" t="s">
        <v>317</v>
      </c>
      <c r="E24" s="63" t="s">
        <v>319</v>
      </c>
      <c r="G24" s="54"/>
      <c r="H24" s="98"/>
      <c r="I24" s="86"/>
      <c r="J24" s="72"/>
      <c r="K24" s="83"/>
    </row>
    <row r="25" spans="1:11" x14ac:dyDescent="0.2">
      <c r="A25" s="94"/>
      <c r="B25" s="97"/>
      <c r="C25" s="64"/>
      <c r="D25" s="65"/>
      <c r="E25" s="52"/>
      <c r="J25" s="47"/>
    </row>
    <row r="26" spans="1:11" x14ac:dyDescent="0.2">
      <c r="A26" s="95"/>
      <c r="B26" s="97"/>
      <c r="C26" s="64"/>
      <c r="D26" s="65"/>
      <c r="E26" s="52"/>
      <c r="G26" s="43"/>
      <c r="I26" s="48"/>
      <c r="J26" s="44"/>
    </row>
    <row r="27" spans="1:11" x14ac:dyDescent="0.2">
      <c r="A27" s="95"/>
      <c r="B27" s="97"/>
      <c r="C27" s="66"/>
      <c r="D27" s="65"/>
      <c r="E27" s="52"/>
    </row>
    <row r="28" spans="1:11" x14ac:dyDescent="0.2">
      <c r="A28" s="95"/>
      <c r="B28" s="97"/>
      <c r="C28" s="66"/>
      <c r="D28" s="65"/>
      <c r="E28" s="52"/>
      <c r="J28" s="47"/>
    </row>
    <row r="29" spans="1:11" x14ac:dyDescent="0.2">
      <c r="A29" s="95"/>
      <c r="B29" s="97"/>
      <c r="C29" s="67"/>
      <c r="D29" s="65"/>
      <c r="E29" s="52"/>
      <c r="I29" s="48"/>
      <c r="J29" s="49"/>
    </row>
    <row r="30" spans="1:11" x14ac:dyDescent="0.2">
      <c r="A30" s="95"/>
      <c r="B30" s="97"/>
      <c r="C30" s="48"/>
      <c r="D30" s="50"/>
      <c r="E30" s="53"/>
      <c r="G30" s="43"/>
    </row>
    <row r="31" spans="1:11" x14ac:dyDescent="0.2">
      <c r="A31" s="95"/>
      <c r="B31" s="97"/>
      <c r="C31" s="68"/>
      <c r="D31" s="65"/>
      <c r="E31" s="52"/>
      <c r="J31" s="47"/>
    </row>
    <row r="32" spans="1:11" ht="12" thickBot="1" x14ac:dyDescent="0.25">
      <c r="A32" s="96"/>
      <c r="B32" s="98"/>
      <c r="C32" s="55"/>
      <c r="D32" s="56"/>
      <c r="E32" s="57"/>
      <c r="I32" s="48"/>
      <c r="J32" s="49"/>
    </row>
    <row r="33" spans="1:5" ht="12" thickBot="1" x14ac:dyDescent="0.25">
      <c r="C33" s="48"/>
      <c r="D33" s="50"/>
      <c r="E33" s="49"/>
    </row>
    <row r="34" spans="1:5" x14ac:dyDescent="0.2">
      <c r="A34" s="59" t="s">
        <v>314</v>
      </c>
      <c r="B34" s="60" t="s">
        <v>315</v>
      </c>
      <c r="C34" s="61" t="s">
        <v>316</v>
      </c>
      <c r="D34" s="62" t="s">
        <v>317</v>
      </c>
      <c r="E34" s="63" t="s">
        <v>319</v>
      </c>
    </row>
    <row r="35" spans="1:5" x14ac:dyDescent="0.2">
      <c r="A35" s="94"/>
      <c r="B35" s="97"/>
      <c r="C35" s="64"/>
      <c r="D35" s="65"/>
      <c r="E35" s="52"/>
    </row>
    <row r="36" spans="1:5" x14ac:dyDescent="0.2">
      <c r="A36" s="95"/>
      <c r="B36" s="97"/>
      <c r="C36" s="64"/>
      <c r="D36" s="65"/>
      <c r="E36" s="52"/>
    </row>
    <row r="37" spans="1:5" x14ac:dyDescent="0.2">
      <c r="A37" s="95"/>
      <c r="B37" s="97"/>
      <c r="C37" s="66"/>
      <c r="D37" s="65"/>
      <c r="E37" s="52"/>
    </row>
    <row r="38" spans="1:5" x14ac:dyDescent="0.2">
      <c r="A38" s="95"/>
      <c r="B38" s="97"/>
      <c r="C38" s="66"/>
      <c r="D38" s="65"/>
      <c r="E38" s="52"/>
    </row>
    <row r="39" spans="1:5" x14ac:dyDescent="0.2">
      <c r="A39" s="95"/>
      <c r="B39" s="97"/>
      <c r="C39" s="67"/>
      <c r="D39" s="65"/>
      <c r="E39" s="52"/>
    </row>
    <row r="40" spans="1:5" x14ac:dyDescent="0.2">
      <c r="A40" s="95"/>
      <c r="B40" s="97"/>
      <c r="C40" s="48"/>
      <c r="D40" s="50"/>
      <c r="E40" s="53"/>
    </row>
    <row r="41" spans="1:5" x14ac:dyDescent="0.2">
      <c r="A41" s="95"/>
      <c r="B41" s="97"/>
      <c r="C41" s="68"/>
      <c r="D41" s="65"/>
      <c r="E41" s="52"/>
    </row>
    <row r="42" spans="1:5" ht="12" thickBot="1" x14ac:dyDescent="0.25">
      <c r="A42" s="96"/>
      <c r="B42" s="98"/>
      <c r="C42" s="55"/>
      <c r="D42" s="56"/>
      <c r="E42" s="57"/>
    </row>
  </sheetData>
  <mergeCells count="16">
    <mergeCell ref="H15:H16"/>
    <mergeCell ref="H19:H20"/>
    <mergeCell ref="H21:H22"/>
    <mergeCell ref="H23:H24"/>
    <mergeCell ref="A3:A12"/>
    <mergeCell ref="B3:B12"/>
    <mergeCell ref="G3:G7"/>
    <mergeCell ref="H3:H7"/>
    <mergeCell ref="G9:G11"/>
    <mergeCell ref="H9:H11"/>
    <mergeCell ref="A25:A32"/>
    <mergeCell ref="B25:B32"/>
    <mergeCell ref="A35:A42"/>
    <mergeCell ref="B35:B42"/>
    <mergeCell ref="A15:A22"/>
    <mergeCell ref="B15:B2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E4A18-B1D8-433B-AE91-D9AB79A9214E}">
  <dimension ref="A1:O42"/>
  <sheetViews>
    <sheetView workbookViewId="0">
      <selection activeCell="D17" sqref="D17"/>
    </sheetView>
  </sheetViews>
  <sheetFormatPr defaultRowHeight="11.25" x14ac:dyDescent="0.2"/>
  <cols>
    <col min="1" max="1" width="13.28515625" style="44" bestFit="1" customWidth="1"/>
    <col min="2" max="2" width="18.7109375" style="44" customWidth="1"/>
    <col min="3" max="3" width="9.7109375" style="45" customWidth="1"/>
    <col min="4" max="4" width="5.7109375" style="46" customWidth="1"/>
    <col min="5" max="5" width="10.7109375" style="46" customWidth="1"/>
    <col min="6" max="6" width="5.7109375" style="44" customWidth="1"/>
    <col min="7" max="7" width="17.42578125" style="44" bestFit="1" customWidth="1"/>
    <col min="8" max="8" width="18.7109375" style="44" customWidth="1"/>
    <col min="9" max="9" width="9.7109375" style="45" customWidth="1"/>
    <col min="10" max="10" width="5.7109375" style="46" customWidth="1"/>
    <col min="11" max="11" width="10.7109375" style="46" customWidth="1"/>
    <col min="12" max="16384" width="9.140625" style="44"/>
  </cols>
  <sheetData>
    <row r="1" spans="1:15" ht="12" thickBot="1" x14ac:dyDescent="0.25">
      <c r="A1" s="43" t="s">
        <v>323</v>
      </c>
      <c r="G1" s="43" t="s">
        <v>324</v>
      </c>
    </row>
    <row r="2" spans="1:15" x14ac:dyDescent="0.2">
      <c r="A2" s="59" t="s">
        <v>314</v>
      </c>
      <c r="B2" s="60" t="s">
        <v>315</v>
      </c>
      <c r="C2" s="61" t="s">
        <v>316</v>
      </c>
      <c r="D2" s="62" t="s">
        <v>317</v>
      </c>
      <c r="E2" s="63" t="s">
        <v>319</v>
      </c>
      <c r="G2" s="59" t="s">
        <v>322</v>
      </c>
      <c r="H2" s="60" t="s">
        <v>315</v>
      </c>
      <c r="I2" s="61" t="s">
        <v>316</v>
      </c>
      <c r="J2" s="62" t="s">
        <v>317</v>
      </c>
      <c r="K2" s="63" t="s">
        <v>319</v>
      </c>
    </row>
    <row r="3" spans="1:15" x14ac:dyDescent="0.2">
      <c r="A3" s="94">
        <v>20</v>
      </c>
      <c r="B3" s="97" t="s">
        <v>205</v>
      </c>
      <c r="C3" s="64">
        <v>20</v>
      </c>
      <c r="D3" s="65">
        <f>IF((A$3/prodtype)&gt;=C3,1,0)</f>
        <v>1</v>
      </c>
      <c r="E3" s="52"/>
      <c r="G3" s="94">
        <v>0</v>
      </c>
      <c r="H3" s="99" t="s">
        <v>66</v>
      </c>
      <c r="I3" s="64">
        <v>0</v>
      </c>
      <c r="J3" s="71">
        <f>IF($G$3&gt;I3,1,0)</f>
        <v>0</v>
      </c>
      <c r="K3" s="82"/>
    </row>
    <row r="4" spans="1:15" x14ac:dyDescent="0.2">
      <c r="A4" s="95"/>
      <c r="B4" s="97"/>
      <c r="C4" s="64">
        <v>500</v>
      </c>
      <c r="D4" s="65">
        <f>IF(A$3&gt;C4,1,0)</f>
        <v>0</v>
      </c>
      <c r="E4" s="52"/>
      <c r="G4" s="95"/>
      <c r="H4" s="97"/>
      <c r="I4" s="64">
        <f>ensp</f>
        <v>200</v>
      </c>
      <c r="J4" s="71">
        <f t="shared" ref="J4:J6" si="0">IF($G$3&gt;I4,1,0)</f>
        <v>0</v>
      </c>
      <c r="K4" s="82"/>
    </row>
    <row r="5" spans="1:15" x14ac:dyDescent="0.2">
      <c r="A5" s="95"/>
      <c r="B5" s="97"/>
      <c r="C5" s="66">
        <v>1000</v>
      </c>
      <c r="D5" s="65">
        <f>IF(AND($A$15&gt;=baseprod)*A$3&gt;C5,1,0)</f>
        <v>0</v>
      </c>
      <c r="E5" s="52"/>
      <c r="G5" s="95"/>
      <c r="H5" s="97"/>
      <c r="I5" s="64">
        <v>1000</v>
      </c>
      <c r="J5" s="71">
        <f t="shared" si="0"/>
        <v>0</v>
      </c>
      <c r="K5" s="82"/>
    </row>
    <row r="6" spans="1:15" x14ac:dyDescent="0.2">
      <c r="A6" s="95"/>
      <c r="B6" s="97"/>
      <c r="C6" s="66">
        <v>2500</v>
      </c>
      <c r="D6" s="65">
        <f>IF(AND($A$15&gt;=baseprod)*A$3&gt;C6,1,0)</f>
        <v>0</v>
      </c>
      <c r="E6" s="52"/>
      <c r="G6" s="95"/>
      <c r="H6" s="97"/>
      <c r="I6" s="64">
        <v>3000</v>
      </c>
      <c r="J6" s="71">
        <f t="shared" si="0"/>
        <v>0</v>
      </c>
      <c r="K6" s="82"/>
    </row>
    <row r="7" spans="1:15" ht="12" thickBot="1" x14ac:dyDescent="0.25">
      <c r="A7" s="95"/>
      <c r="B7" s="97"/>
      <c r="C7" s="67">
        <v>8000</v>
      </c>
      <c r="D7" s="65">
        <f>ROUNDDOWN($A$3/C7,0)</f>
        <v>0</v>
      </c>
      <c r="E7" s="52"/>
      <c r="G7" s="96"/>
      <c r="H7" s="98"/>
      <c r="I7" s="48" t="s">
        <v>313</v>
      </c>
      <c r="J7" s="49">
        <f>SUM(J3:J6)</f>
        <v>0</v>
      </c>
      <c r="K7" s="53">
        <f>(2/prodtype)*J7*(J15/4)</f>
        <v>0</v>
      </c>
    </row>
    <row r="8" spans="1:15" x14ac:dyDescent="0.2">
      <c r="A8" s="95"/>
      <c r="B8" s="97"/>
      <c r="C8" s="48" t="s">
        <v>309</v>
      </c>
      <c r="D8" s="50">
        <f>SUM(D3:D7)</f>
        <v>1</v>
      </c>
      <c r="E8" s="53"/>
      <c r="G8" s="59" t="s">
        <v>322</v>
      </c>
      <c r="H8" s="60" t="s">
        <v>315</v>
      </c>
      <c r="I8" s="61" t="s">
        <v>316</v>
      </c>
      <c r="J8" s="62" t="s">
        <v>317</v>
      </c>
      <c r="K8" s="63" t="s">
        <v>319</v>
      </c>
    </row>
    <row r="9" spans="1:15" x14ac:dyDescent="0.2">
      <c r="A9" s="95"/>
      <c r="B9" s="97"/>
      <c r="C9" s="68" t="s">
        <v>310</v>
      </c>
      <c r="D9" s="65">
        <f>(IF($A$15&gt;synergy,1,0))*(IF($A$3&gt;synergy,1,0))</f>
        <v>0</v>
      </c>
      <c r="E9" s="52"/>
      <c r="G9" s="94">
        <v>0</v>
      </c>
      <c r="H9" s="99" t="s">
        <v>4</v>
      </c>
      <c r="I9" s="64">
        <v>0</v>
      </c>
      <c r="J9" s="71">
        <f>IF($G$9&gt;I9,1,0)</f>
        <v>0</v>
      </c>
      <c r="K9" s="82"/>
    </row>
    <row r="10" spans="1:15" x14ac:dyDescent="0.2">
      <c r="A10" s="95"/>
      <c r="B10" s="97"/>
      <c r="C10" s="68" t="s">
        <v>311</v>
      </c>
      <c r="D10" s="65">
        <f>(IF($A$25&gt;synergy,1,0))*(IF($A$3&gt;synergy,1,0))</f>
        <v>0</v>
      </c>
      <c r="E10" s="52"/>
      <c r="G10" s="95"/>
      <c r="H10" s="97"/>
      <c r="I10" s="64">
        <f>commsboost</f>
        <v>200</v>
      </c>
      <c r="J10" s="71">
        <f>IF($G$9&gt;I10,1,0)</f>
        <v>0</v>
      </c>
      <c r="K10" s="82"/>
    </row>
    <row r="11" spans="1:15" ht="12" thickBot="1" x14ac:dyDescent="0.25">
      <c r="A11" s="95"/>
      <c r="B11" s="97"/>
      <c r="C11" s="68" t="s">
        <v>312</v>
      </c>
      <c r="D11" s="65">
        <f>(IF($A$35&gt;synergy,1,0))*(IF($A$3&gt;synergy,1,0))</f>
        <v>0</v>
      </c>
      <c r="E11" s="52"/>
      <c r="G11" s="96"/>
      <c r="H11" s="98"/>
      <c r="I11" s="55" t="s">
        <v>313</v>
      </c>
      <c r="J11" s="70">
        <f>SUM(J9:J10)</f>
        <v>0</v>
      </c>
      <c r="K11" s="88">
        <f>(2/prodtype)*J11</f>
        <v>0</v>
      </c>
    </row>
    <row r="12" spans="1:15" ht="12" thickBot="1" x14ac:dyDescent="0.25">
      <c r="A12" s="96"/>
      <c r="B12" s="98"/>
      <c r="C12" s="55" t="s">
        <v>313</v>
      </c>
      <c r="D12" s="56">
        <f>SUM(D9:D11)+D8</f>
        <v>1</v>
      </c>
      <c r="E12" s="57">
        <f>D12*(20/prodtype)</f>
        <v>20</v>
      </c>
    </row>
    <row r="13" spans="1:15" ht="12" thickBot="1" x14ac:dyDescent="0.25">
      <c r="C13" s="48"/>
      <c r="D13" s="50"/>
      <c r="E13" s="49"/>
      <c r="G13" s="43" t="s">
        <v>325</v>
      </c>
      <c r="J13" s="44"/>
    </row>
    <row r="14" spans="1:15" x14ac:dyDescent="0.2">
      <c r="A14" s="59" t="s">
        <v>314</v>
      </c>
      <c r="B14" s="60" t="s">
        <v>315</v>
      </c>
      <c r="C14" s="61" t="s">
        <v>316</v>
      </c>
      <c r="D14" s="62" t="s">
        <v>317</v>
      </c>
      <c r="E14" s="63" t="s">
        <v>319</v>
      </c>
      <c r="G14" s="59"/>
      <c r="H14" s="60" t="s">
        <v>315</v>
      </c>
      <c r="I14" s="61"/>
      <c r="J14" s="62" t="s">
        <v>317</v>
      </c>
      <c r="K14" s="63" t="s">
        <v>318</v>
      </c>
    </row>
    <row r="15" spans="1:15" x14ac:dyDescent="0.2">
      <c r="A15" s="94">
        <v>0</v>
      </c>
      <c r="B15" s="97" t="s">
        <v>127</v>
      </c>
      <c r="C15" s="64">
        <v>20</v>
      </c>
      <c r="D15" s="65">
        <f>IF((A$15/prodtype)&gt;=C15,1,0)</f>
        <v>0</v>
      </c>
      <c r="E15" s="52"/>
      <c r="G15" s="73"/>
      <c r="H15" s="99" t="s">
        <v>58</v>
      </c>
      <c r="I15" s="84" t="s">
        <v>326</v>
      </c>
      <c r="J15" s="74">
        <f>D12+D22+D32+D42</f>
        <v>1</v>
      </c>
      <c r="K15" s="75">
        <f>(16/prodtype)*J15</f>
        <v>16</v>
      </c>
      <c r="L15" s="79"/>
      <c r="M15" s="79"/>
      <c r="O15" s="87"/>
    </row>
    <row r="16" spans="1:15" x14ac:dyDescent="0.2">
      <c r="A16" s="95"/>
      <c r="B16" s="97"/>
      <c r="C16" s="64">
        <v>800</v>
      </c>
      <c r="D16" s="65">
        <f>IF(A$15&gt;C16,1,0)</f>
        <v>0</v>
      </c>
      <c r="E16" s="52"/>
      <c r="G16" s="76"/>
      <c r="H16" s="100"/>
      <c r="I16" s="85" t="s">
        <v>327</v>
      </c>
      <c r="J16" s="77">
        <f>J7+J11</f>
        <v>0</v>
      </c>
      <c r="K16" s="80">
        <f>((4/prodtype)*J16)*(J15/4)</f>
        <v>0</v>
      </c>
      <c r="L16" s="87"/>
    </row>
    <row r="17" spans="1:11" ht="13.5" x14ac:dyDescent="0.2">
      <c r="A17" s="95"/>
      <c r="B17" s="97"/>
      <c r="C17" s="66">
        <v>1500</v>
      </c>
      <c r="D17" s="65">
        <f>IF(AND($A$3&gt;=baseprod)*A$15&gt;C17,1,0)</f>
        <v>0</v>
      </c>
      <c r="E17" s="52"/>
      <c r="G17" s="51"/>
      <c r="H17" s="58"/>
      <c r="J17" s="47"/>
      <c r="K17" s="81">
        <f>SUM(K15:K16)</f>
        <v>16</v>
      </c>
    </row>
    <row r="18" spans="1:11" x14ac:dyDescent="0.2">
      <c r="A18" s="95"/>
      <c r="B18" s="97"/>
      <c r="C18" s="66"/>
      <c r="D18" s="65"/>
      <c r="E18" s="52"/>
      <c r="G18" s="51"/>
      <c r="I18" s="48"/>
      <c r="K18" s="82"/>
    </row>
    <row r="19" spans="1:11" x14ac:dyDescent="0.2">
      <c r="A19" s="95"/>
      <c r="B19" s="97"/>
      <c r="C19" s="67">
        <v>8000</v>
      </c>
      <c r="D19" s="65">
        <f>ROUNDDOWN($A$15/C19,0)</f>
        <v>0</v>
      </c>
      <c r="E19" s="52"/>
      <c r="G19" s="73"/>
      <c r="H19" s="99" t="s">
        <v>4</v>
      </c>
      <c r="I19" s="84"/>
      <c r="J19" s="74">
        <f>J15</f>
        <v>1</v>
      </c>
      <c r="K19" s="89">
        <f>(2/prodtype)*J7*(J15/4)</f>
        <v>0</v>
      </c>
    </row>
    <row r="20" spans="1:11" x14ac:dyDescent="0.2">
      <c r="A20" s="95"/>
      <c r="B20" s="97"/>
      <c r="C20" s="48" t="s">
        <v>309</v>
      </c>
      <c r="D20" s="50">
        <f>SUM(D15:D19)</f>
        <v>0</v>
      </c>
      <c r="E20" s="53"/>
      <c r="G20" s="76"/>
      <c r="H20" s="100"/>
      <c r="I20" s="85"/>
      <c r="J20" s="77"/>
      <c r="K20" s="78"/>
    </row>
    <row r="21" spans="1:11" x14ac:dyDescent="0.2">
      <c r="A21" s="95"/>
      <c r="B21" s="97"/>
      <c r="C21" s="68" t="s">
        <v>304</v>
      </c>
      <c r="D21" s="65">
        <f>(IF($A$15&gt;synergy,1,0))*(IF($A$3&gt;synergy,1,0))</f>
        <v>0</v>
      </c>
      <c r="E21" s="52"/>
      <c r="G21" s="73"/>
      <c r="H21" s="99" t="s">
        <v>55</v>
      </c>
      <c r="I21" s="84"/>
      <c r="J21" s="74">
        <f>J15</f>
        <v>1</v>
      </c>
      <c r="K21" s="75">
        <f>(2/prodtype)*J21</f>
        <v>2</v>
      </c>
    </row>
    <row r="22" spans="1:11" ht="12" thickBot="1" x14ac:dyDescent="0.25">
      <c r="A22" s="96"/>
      <c r="B22" s="98"/>
      <c r="C22" s="55" t="s">
        <v>313</v>
      </c>
      <c r="D22" s="56">
        <f>SUM(D21)+D20</f>
        <v>0</v>
      </c>
      <c r="E22" s="57">
        <f>D22*(20/prodtype)</f>
        <v>0</v>
      </c>
      <c r="G22" s="51"/>
      <c r="H22" s="97"/>
      <c r="J22" s="47"/>
      <c r="K22" s="69"/>
    </row>
    <row r="23" spans="1:11" ht="12" thickBot="1" x14ac:dyDescent="0.25">
      <c r="C23" s="48"/>
      <c r="D23" s="50"/>
      <c r="E23" s="49"/>
      <c r="G23" s="73"/>
      <c r="H23" s="99" t="s">
        <v>53</v>
      </c>
      <c r="I23" s="84"/>
      <c r="J23" s="74">
        <f>J21</f>
        <v>1</v>
      </c>
      <c r="K23" s="75">
        <f>(2/prodtype)*J23</f>
        <v>2</v>
      </c>
    </row>
    <row r="24" spans="1:11" ht="12" thickBot="1" x14ac:dyDescent="0.25">
      <c r="A24" s="59" t="s">
        <v>314</v>
      </c>
      <c r="B24" s="60" t="s">
        <v>315</v>
      </c>
      <c r="C24" s="61" t="s">
        <v>316</v>
      </c>
      <c r="D24" s="62" t="s">
        <v>317</v>
      </c>
      <c r="E24" s="63" t="s">
        <v>319</v>
      </c>
      <c r="G24" s="54"/>
      <c r="H24" s="98"/>
      <c r="I24" s="86"/>
      <c r="J24" s="72"/>
      <c r="K24" s="83"/>
    </row>
    <row r="25" spans="1:11" ht="11.25" customHeight="1" x14ac:dyDescent="0.2">
      <c r="A25" s="94">
        <v>0</v>
      </c>
      <c r="B25" s="97" t="s">
        <v>56</v>
      </c>
      <c r="C25" s="64">
        <v>20</v>
      </c>
      <c r="D25" s="65">
        <f>IF((A$25/prodtype)&gt;=C25,1,0)</f>
        <v>0</v>
      </c>
      <c r="E25" s="52"/>
      <c r="J25" s="47"/>
    </row>
    <row r="26" spans="1:11" ht="11.25" customHeight="1" x14ac:dyDescent="0.2">
      <c r="A26" s="95"/>
      <c r="B26" s="97"/>
      <c r="C26" s="64"/>
      <c r="D26" s="65"/>
      <c r="E26" s="52"/>
      <c r="G26" s="43"/>
      <c r="I26" s="48"/>
      <c r="J26" s="44"/>
    </row>
    <row r="27" spans="1:11" ht="11.25" customHeight="1" x14ac:dyDescent="0.2">
      <c r="A27" s="95"/>
      <c r="B27" s="97"/>
      <c r="C27" s="66">
        <v>1000</v>
      </c>
      <c r="D27" s="65">
        <f>IF(AND($A$3&gt;=baseprod)*A$25&gt;C27,1,0)</f>
        <v>0</v>
      </c>
      <c r="E27" s="52"/>
    </row>
    <row r="28" spans="1:11" ht="11.25" customHeight="1" x14ac:dyDescent="0.2">
      <c r="A28" s="95"/>
      <c r="B28" s="97"/>
      <c r="C28" s="66"/>
      <c r="D28" s="65"/>
      <c r="E28" s="52"/>
      <c r="J28" s="47"/>
    </row>
    <row r="29" spans="1:11" ht="11.25" customHeight="1" x14ac:dyDescent="0.2">
      <c r="A29" s="95"/>
      <c r="B29" s="97"/>
      <c r="C29" s="67">
        <v>8000</v>
      </c>
      <c r="D29" s="65">
        <f>ROUNDDOWN($A$25/C29,0)</f>
        <v>0</v>
      </c>
      <c r="E29" s="52"/>
      <c r="I29" s="48"/>
      <c r="J29" s="49"/>
    </row>
    <row r="30" spans="1:11" ht="11.25" customHeight="1" x14ac:dyDescent="0.2">
      <c r="A30" s="95"/>
      <c r="B30" s="97"/>
      <c r="C30" s="48" t="s">
        <v>309</v>
      </c>
      <c r="D30" s="50">
        <f>SUM(D25:D29)</f>
        <v>0</v>
      </c>
      <c r="E30" s="53"/>
      <c r="G30" s="43"/>
    </row>
    <row r="31" spans="1:11" ht="11.25" customHeight="1" x14ac:dyDescent="0.2">
      <c r="A31" s="95"/>
      <c r="B31" s="97"/>
      <c r="C31" s="68" t="s">
        <v>304</v>
      </c>
      <c r="D31" s="65">
        <f>(IF($A$25&gt;synergy,1,0))*(IF($A$3&gt;synergy,1,0))</f>
        <v>0</v>
      </c>
      <c r="E31" s="52"/>
      <c r="J31" s="47"/>
    </row>
    <row r="32" spans="1:11" ht="12" customHeight="1" thickBot="1" x14ac:dyDescent="0.25">
      <c r="A32" s="96"/>
      <c r="B32" s="98"/>
      <c r="C32" s="55" t="s">
        <v>313</v>
      </c>
      <c r="D32" s="56">
        <f>SUM(D31)+D30</f>
        <v>0</v>
      </c>
      <c r="E32" s="57">
        <f>D32*(20/prodtype)</f>
        <v>0</v>
      </c>
      <c r="I32" s="48"/>
      <c r="J32" s="49"/>
    </row>
    <row r="33" spans="1:5" ht="12" thickBot="1" x14ac:dyDescent="0.25">
      <c r="C33" s="48"/>
      <c r="D33" s="50"/>
      <c r="E33" s="49"/>
    </row>
    <row r="34" spans="1:5" x14ac:dyDescent="0.2">
      <c r="A34" s="59" t="s">
        <v>314</v>
      </c>
      <c r="B34" s="60" t="s">
        <v>315</v>
      </c>
      <c r="C34" s="61" t="s">
        <v>316</v>
      </c>
      <c r="D34" s="62" t="s">
        <v>317</v>
      </c>
      <c r="E34" s="63" t="s">
        <v>319</v>
      </c>
    </row>
    <row r="35" spans="1:5" x14ac:dyDescent="0.2">
      <c r="A35" s="94"/>
      <c r="B35" s="97"/>
      <c r="C35" s="64"/>
      <c r="D35" s="65"/>
      <c r="E35" s="52"/>
    </row>
    <row r="36" spans="1:5" x14ac:dyDescent="0.2">
      <c r="A36" s="95"/>
      <c r="B36" s="97"/>
      <c r="C36" s="64"/>
      <c r="D36" s="65"/>
      <c r="E36" s="52"/>
    </row>
    <row r="37" spans="1:5" x14ac:dyDescent="0.2">
      <c r="A37" s="95"/>
      <c r="B37" s="97"/>
      <c r="C37" s="66"/>
      <c r="D37" s="65"/>
      <c r="E37" s="52"/>
    </row>
    <row r="38" spans="1:5" x14ac:dyDescent="0.2">
      <c r="A38" s="95"/>
      <c r="B38" s="97"/>
      <c r="C38" s="66"/>
      <c r="D38" s="65"/>
      <c r="E38" s="52"/>
    </row>
    <row r="39" spans="1:5" x14ac:dyDescent="0.2">
      <c r="A39" s="95"/>
      <c r="B39" s="97"/>
      <c r="C39" s="67"/>
      <c r="D39" s="65"/>
      <c r="E39" s="52"/>
    </row>
    <row r="40" spans="1:5" x14ac:dyDescent="0.2">
      <c r="A40" s="95"/>
      <c r="B40" s="97"/>
      <c r="C40" s="48"/>
      <c r="D40" s="50"/>
      <c r="E40" s="53"/>
    </row>
    <row r="41" spans="1:5" x14ac:dyDescent="0.2">
      <c r="A41" s="95"/>
      <c r="B41" s="97"/>
      <c r="C41" s="68"/>
      <c r="D41" s="65"/>
      <c r="E41" s="52"/>
    </row>
    <row r="42" spans="1:5" ht="12" thickBot="1" x14ac:dyDescent="0.25">
      <c r="A42" s="96"/>
      <c r="B42" s="98"/>
      <c r="C42" s="55"/>
      <c r="D42" s="56"/>
      <c r="E42" s="57"/>
    </row>
  </sheetData>
  <mergeCells count="16">
    <mergeCell ref="H15:H16"/>
    <mergeCell ref="H19:H20"/>
    <mergeCell ref="H21:H22"/>
    <mergeCell ref="H23:H24"/>
    <mergeCell ref="A3:A12"/>
    <mergeCell ref="B3:B12"/>
    <mergeCell ref="G3:G7"/>
    <mergeCell ref="H3:H7"/>
    <mergeCell ref="G9:G11"/>
    <mergeCell ref="H9:H11"/>
    <mergeCell ref="A25:A32"/>
    <mergeCell ref="B25:B32"/>
    <mergeCell ref="A35:A42"/>
    <mergeCell ref="B35:B42"/>
    <mergeCell ref="A15:A22"/>
    <mergeCell ref="B15:B2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C87-F002-4D97-8B2F-DBCC4BCFCBBA}">
  <dimension ref="A1:O42"/>
  <sheetViews>
    <sheetView workbookViewId="0">
      <selection activeCell="G21" sqref="G21:K24"/>
    </sheetView>
  </sheetViews>
  <sheetFormatPr defaultRowHeight="11.25" x14ac:dyDescent="0.2"/>
  <cols>
    <col min="1" max="1" width="13.28515625" style="44" bestFit="1" customWidth="1"/>
    <col min="2" max="2" width="18.7109375" style="44" customWidth="1"/>
    <col min="3" max="3" width="9.7109375" style="45" customWidth="1"/>
    <col min="4" max="4" width="5.7109375" style="46" customWidth="1"/>
    <col min="5" max="5" width="10.7109375" style="46" customWidth="1"/>
    <col min="6" max="6" width="5.7109375" style="44" customWidth="1"/>
    <col min="7" max="7" width="17.42578125" style="44" bestFit="1" customWidth="1"/>
    <col min="8" max="8" width="18.7109375" style="44" customWidth="1"/>
    <col min="9" max="9" width="9.7109375" style="45" customWidth="1"/>
    <col min="10" max="10" width="5.7109375" style="46" customWidth="1"/>
    <col min="11" max="11" width="10.7109375" style="46" customWidth="1"/>
    <col min="12" max="16384" width="9.140625" style="44"/>
  </cols>
  <sheetData>
    <row r="1" spans="1:15" ht="12" thickBot="1" x14ac:dyDescent="0.25">
      <c r="A1" s="43" t="s">
        <v>323</v>
      </c>
      <c r="G1" s="43" t="s">
        <v>324</v>
      </c>
    </row>
    <row r="2" spans="1:15" x14ac:dyDescent="0.2">
      <c r="A2" s="59" t="s">
        <v>314</v>
      </c>
      <c r="B2" s="60" t="s">
        <v>315</v>
      </c>
      <c r="C2" s="61" t="s">
        <v>316</v>
      </c>
      <c r="D2" s="62" t="s">
        <v>317</v>
      </c>
      <c r="E2" s="63" t="s">
        <v>319</v>
      </c>
      <c r="G2" s="59" t="s">
        <v>322</v>
      </c>
      <c r="H2" s="60" t="s">
        <v>315</v>
      </c>
      <c r="I2" s="61" t="s">
        <v>316</v>
      </c>
      <c r="J2" s="62" t="s">
        <v>317</v>
      </c>
      <c r="K2" s="63" t="s">
        <v>319</v>
      </c>
    </row>
    <row r="3" spans="1:15" x14ac:dyDescent="0.2">
      <c r="A3" s="94">
        <v>20</v>
      </c>
      <c r="B3" s="97" t="s">
        <v>32</v>
      </c>
      <c r="C3" s="64">
        <v>20</v>
      </c>
      <c r="D3" s="65">
        <f>IF((A$3/prodtype)&gt;=C3,1,0)</f>
        <v>1</v>
      </c>
      <c r="E3" s="52"/>
      <c r="G3" s="94">
        <v>0</v>
      </c>
      <c r="H3" s="99" t="s">
        <v>66</v>
      </c>
      <c r="I3" s="64">
        <v>0</v>
      </c>
      <c r="J3" s="71">
        <f>IF($G$3&gt;I3,1,0)</f>
        <v>0</v>
      </c>
      <c r="K3" s="82"/>
    </row>
    <row r="4" spans="1:15" x14ac:dyDescent="0.2">
      <c r="A4" s="95"/>
      <c r="B4" s="97"/>
      <c r="C4" s="64">
        <v>500</v>
      </c>
      <c r="D4" s="65">
        <f>IF(A$3&gt;C4,1,0)</f>
        <v>0</v>
      </c>
      <c r="E4" s="52"/>
      <c r="G4" s="95"/>
      <c r="H4" s="97"/>
      <c r="I4" s="64">
        <f>ensp</f>
        <v>200</v>
      </c>
      <c r="J4" s="71">
        <f t="shared" ref="J4:J6" si="0">IF($G$3&gt;I4,1,0)</f>
        <v>0</v>
      </c>
      <c r="K4" s="82"/>
    </row>
    <row r="5" spans="1:15" x14ac:dyDescent="0.2">
      <c r="A5" s="95"/>
      <c r="B5" s="97"/>
      <c r="C5" s="66">
        <v>1000</v>
      </c>
      <c r="D5" s="65">
        <f>IF(AND($A$15&gt;=baseprod)*A$3&gt;C5,1,0)</f>
        <v>0</v>
      </c>
      <c r="E5" s="52"/>
      <c r="G5" s="95"/>
      <c r="H5" s="97"/>
      <c r="I5" s="64">
        <v>1000</v>
      </c>
      <c r="J5" s="71">
        <f t="shared" si="0"/>
        <v>0</v>
      </c>
      <c r="K5" s="82"/>
    </row>
    <row r="6" spans="1:15" x14ac:dyDescent="0.2">
      <c r="A6" s="95"/>
      <c r="B6" s="97"/>
      <c r="C6" s="66">
        <v>2500</v>
      </c>
      <c r="D6" s="65">
        <f>IF(AND($A$15&gt;=baseprod)*A$3&gt;C6,1,0)</f>
        <v>0</v>
      </c>
      <c r="E6" s="52"/>
      <c r="G6" s="95"/>
      <c r="H6" s="97"/>
      <c r="I6" s="64">
        <v>3000</v>
      </c>
      <c r="J6" s="71">
        <f t="shared" si="0"/>
        <v>0</v>
      </c>
      <c r="K6" s="82"/>
    </row>
    <row r="7" spans="1:15" ht="12" thickBot="1" x14ac:dyDescent="0.25">
      <c r="A7" s="95"/>
      <c r="B7" s="97"/>
      <c r="C7" s="67">
        <v>8000</v>
      </c>
      <c r="D7" s="65">
        <f>ROUNDDOWN($A$3/C7,0)</f>
        <v>0</v>
      </c>
      <c r="E7" s="52"/>
      <c r="G7" s="96"/>
      <c r="H7" s="98"/>
      <c r="I7" s="48" t="s">
        <v>313</v>
      </c>
      <c r="J7" s="49">
        <f>SUM(J3:J6)</f>
        <v>0</v>
      </c>
      <c r="K7" s="53">
        <f>(2/prodtype)*J7*(J15/4)</f>
        <v>0</v>
      </c>
    </row>
    <row r="8" spans="1:15" x14ac:dyDescent="0.2">
      <c r="A8" s="95"/>
      <c r="B8" s="97"/>
      <c r="C8" s="48" t="s">
        <v>309</v>
      </c>
      <c r="D8" s="50">
        <f>SUM(D3:D7)</f>
        <v>1</v>
      </c>
      <c r="E8" s="53"/>
      <c r="G8" s="59" t="s">
        <v>322</v>
      </c>
      <c r="H8" s="60" t="s">
        <v>315</v>
      </c>
      <c r="I8" s="61" t="s">
        <v>316</v>
      </c>
      <c r="J8" s="62" t="s">
        <v>317</v>
      </c>
      <c r="K8" s="63" t="s">
        <v>319</v>
      </c>
    </row>
    <row r="9" spans="1:15" x14ac:dyDescent="0.2">
      <c r="A9" s="95"/>
      <c r="B9" s="97"/>
      <c r="C9" s="68" t="s">
        <v>310</v>
      </c>
      <c r="D9" s="65">
        <f>(IF($A$15&gt;synergy,1,0))*(IF($A$3&gt;synergy,1,0))</f>
        <v>0</v>
      </c>
      <c r="E9" s="52"/>
      <c r="G9" s="94">
        <v>0</v>
      </c>
      <c r="H9" s="99" t="s">
        <v>4</v>
      </c>
      <c r="I9" s="64">
        <v>0</v>
      </c>
      <c r="J9" s="71">
        <f>IF($G$9&gt;I9,1,0)</f>
        <v>0</v>
      </c>
      <c r="K9" s="82"/>
    </row>
    <row r="10" spans="1:15" x14ac:dyDescent="0.2">
      <c r="A10" s="95"/>
      <c r="B10" s="97"/>
      <c r="C10" s="68" t="s">
        <v>311</v>
      </c>
      <c r="D10" s="65">
        <f>(IF($A$25&gt;synergy,1,0))*(IF($A$3&gt;synergy,1,0))</f>
        <v>0</v>
      </c>
      <c r="E10" s="52"/>
      <c r="G10" s="95"/>
      <c r="H10" s="97"/>
      <c r="I10" s="64">
        <f>commsboost</f>
        <v>200</v>
      </c>
      <c r="J10" s="71">
        <f>IF($G$9&gt;I10,1,0)</f>
        <v>0</v>
      </c>
      <c r="K10" s="82"/>
    </row>
    <row r="11" spans="1:15" ht="12" thickBot="1" x14ac:dyDescent="0.25">
      <c r="A11" s="95"/>
      <c r="B11" s="97"/>
      <c r="C11" s="68" t="s">
        <v>312</v>
      </c>
      <c r="D11" s="65">
        <f>(IF($A$35&gt;synergy,1,0))*(IF($A$3&gt;synergy,1,0))</f>
        <v>0</v>
      </c>
      <c r="E11" s="52"/>
      <c r="G11" s="96"/>
      <c r="H11" s="98"/>
      <c r="I11" s="55" t="s">
        <v>313</v>
      </c>
      <c r="J11" s="70">
        <f>SUM(J9:J10)</f>
        <v>0</v>
      </c>
      <c r="K11" s="88">
        <f>(2/prodtype)*J11</f>
        <v>0</v>
      </c>
    </row>
    <row r="12" spans="1:15" ht="12" thickBot="1" x14ac:dyDescent="0.25">
      <c r="A12" s="96"/>
      <c r="B12" s="98"/>
      <c r="C12" s="55" t="s">
        <v>313</v>
      </c>
      <c r="D12" s="56">
        <f>SUM(D9:D11)+D8</f>
        <v>1</v>
      </c>
      <c r="E12" s="57">
        <f>D12*(20/prodtype)</f>
        <v>20</v>
      </c>
    </row>
    <row r="13" spans="1:15" ht="12" thickBot="1" x14ac:dyDescent="0.25">
      <c r="C13" s="48"/>
      <c r="D13" s="50"/>
      <c r="E13" s="49"/>
      <c r="G13" s="43" t="s">
        <v>325</v>
      </c>
      <c r="J13" s="44"/>
    </row>
    <row r="14" spans="1:15" x14ac:dyDescent="0.2">
      <c r="A14" s="59" t="s">
        <v>314</v>
      </c>
      <c r="B14" s="60" t="s">
        <v>315</v>
      </c>
      <c r="C14" s="61" t="s">
        <v>316</v>
      </c>
      <c r="D14" s="62" t="s">
        <v>317</v>
      </c>
      <c r="E14" s="63" t="s">
        <v>319</v>
      </c>
      <c r="G14" s="59"/>
      <c r="H14" s="60" t="s">
        <v>315</v>
      </c>
      <c r="I14" s="61"/>
      <c r="J14" s="62" t="s">
        <v>317</v>
      </c>
      <c r="K14" s="63" t="s">
        <v>318</v>
      </c>
    </row>
    <row r="15" spans="1:15" x14ac:dyDescent="0.2">
      <c r="A15" s="94">
        <v>0</v>
      </c>
      <c r="B15" s="97" t="s">
        <v>127</v>
      </c>
      <c r="C15" s="64">
        <v>20</v>
      </c>
      <c r="D15" s="65">
        <f>IF((A$15/prodtype)&gt;=C15,1,0)</f>
        <v>0</v>
      </c>
      <c r="E15" s="52"/>
      <c r="G15" s="73"/>
      <c r="H15" s="99" t="s">
        <v>23</v>
      </c>
      <c r="I15" s="84" t="s">
        <v>326</v>
      </c>
      <c r="J15" s="74">
        <f>D12+D22+D32+D42</f>
        <v>1</v>
      </c>
      <c r="K15" s="75">
        <f>(16/prodtype)*J15</f>
        <v>16</v>
      </c>
      <c r="L15" s="79"/>
      <c r="M15" s="79"/>
      <c r="O15" s="87"/>
    </row>
    <row r="16" spans="1:15" x14ac:dyDescent="0.2">
      <c r="A16" s="95"/>
      <c r="B16" s="97"/>
      <c r="C16" s="64">
        <v>800</v>
      </c>
      <c r="D16" s="65">
        <f>IF(A$15&gt;C16,1,0)</f>
        <v>0</v>
      </c>
      <c r="E16" s="52"/>
      <c r="G16" s="76"/>
      <c r="H16" s="100"/>
      <c r="I16" s="85" t="s">
        <v>327</v>
      </c>
      <c r="J16" s="77">
        <f>J7+J11</f>
        <v>0</v>
      </c>
      <c r="K16" s="80">
        <f>((4/prodtype)*J16)*(J15/4)</f>
        <v>0</v>
      </c>
      <c r="L16" s="87"/>
    </row>
    <row r="17" spans="1:11" ht="13.5" x14ac:dyDescent="0.2">
      <c r="A17" s="95"/>
      <c r="B17" s="97"/>
      <c r="C17" s="66">
        <v>1500</v>
      </c>
      <c r="D17" s="65">
        <f>IF(AND($A$3&gt;=baseprod)*A$15&gt;C17,1,0)</f>
        <v>0</v>
      </c>
      <c r="E17" s="52"/>
      <c r="G17" s="51"/>
      <c r="H17" s="58"/>
      <c r="J17" s="47"/>
      <c r="K17" s="81">
        <f>SUM(K15:K16)</f>
        <v>16</v>
      </c>
    </row>
    <row r="18" spans="1:11" x14ac:dyDescent="0.2">
      <c r="A18" s="95"/>
      <c r="B18" s="97"/>
      <c r="C18" s="66"/>
      <c r="D18" s="65"/>
      <c r="E18" s="52"/>
      <c r="G18" s="51"/>
      <c r="I18" s="48"/>
      <c r="K18" s="82"/>
    </row>
    <row r="19" spans="1:11" x14ac:dyDescent="0.2">
      <c r="A19" s="95"/>
      <c r="B19" s="97"/>
      <c r="C19" s="67">
        <v>8000</v>
      </c>
      <c r="D19" s="65">
        <f>ROUNDDOWN($A$15/C19,0)</f>
        <v>0</v>
      </c>
      <c r="E19" s="52"/>
      <c r="G19" s="73"/>
      <c r="H19" s="99" t="s">
        <v>4</v>
      </c>
      <c r="I19" s="84"/>
      <c r="J19" s="74">
        <f>J15</f>
        <v>1</v>
      </c>
      <c r="K19" s="89">
        <f>(2/prodtype)*J7*(J15/4)</f>
        <v>0</v>
      </c>
    </row>
    <row r="20" spans="1:11" x14ac:dyDescent="0.2">
      <c r="A20" s="95"/>
      <c r="B20" s="97"/>
      <c r="C20" s="48" t="s">
        <v>309</v>
      </c>
      <c r="D20" s="50">
        <f>SUM(D15:D19)</f>
        <v>0</v>
      </c>
      <c r="E20" s="53"/>
      <c r="G20" s="76"/>
      <c r="H20" s="100"/>
      <c r="I20" s="85"/>
      <c r="J20" s="77"/>
      <c r="K20" s="78"/>
    </row>
    <row r="21" spans="1:11" x14ac:dyDescent="0.2">
      <c r="A21" s="95"/>
      <c r="B21" s="97"/>
      <c r="C21" s="68" t="s">
        <v>304</v>
      </c>
      <c r="D21" s="65">
        <f>(IF($A$15&gt;synergy,1,0))*(IF($A$3&gt;synergy,1,0))</f>
        <v>0</v>
      </c>
      <c r="E21" s="52"/>
      <c r="G21" s="73"/>
      <c r="H21" s="99" t="s">
        <v>55</v>
      </c>
      <c r="I21" s="84"/>
      <c r="J21" s="74">
        <f>J15</f>
        <v>1</v>
      </c>
      <c r="K21" s="75">
        <f>(2/prodtype)*J21</f>
        <v>2</v>
      </c>
    </row>
    <row r="22" spans="1:11" ht="12" thickBot="1" x14ac:dyDescent="0.25">
      <c r="A22" s="96"/>
      <c r="B22" s="98"/>
      <c r="C22" s="55" t="s">
        <v>313</v>
      </c>
      <c r="D22" s="56">
        <f>SUM(D21)+D20</f>
        <v>0</v>
      </c>
      <c r="E22" s="57">
        <f>D22*(20/prodtype)</f>
        <v>0</v>
      </c>
      <c r="G22" s="51"/>
      <c r="H22" s="97"/>
      <c r="J22" s="47"/>
      <c r="K22" s="69"/>
    </row>
    <row r="23" spans="1:11" ht="12" thickBot="1" x14ac:dyDescent="0.25">
      <c r="C23" s="48"/>
      <c r="D23" s="50"/>
      <c r="E23" s="49"/>
      <c r="G23" s="73"/>
      <c r="H23" s="99" t="s">
        <v>53</v>
      </c>
      <c r="I23" s="84"/>
      <c r="J23" s="74">
        <f>J21</f>
        <v>1</v>
      </c>
      <c r="K23" s="75">
        <f>(2/prodtype)*J23</f>
        <v>2</v>
      </c>
    </row>
    <row r="24" spans="1:11" ht="12" thickBot="1" x14ac:dyDescent="0.25">
      <c r="A24" s="59" t="s">
        <v>314</v>
      </c>
      <c r="B24" s="60" t="s">
        <v>315</v>
      </c>
      <c r="C24" s="61" t="s">
        <v>316</v>
      </c>
      <c r="D24" s="62" t="s">
        <v>317</v>
      </c>
      <c r="E24" s="63" t="s">
        <v>319</v>
      </c>
      <c r="G24" s="54"/>
      <c r="H24" s="98"/>
      <c r="I24" s="86"/>
      <c r="J24" s="72"/>
      <c r="K24" s="83"/>
    </row>
    <row r="25" spans="1:11" ht="11.25" customHeight="1" x14ac:dyDescent="0.2">
      <c r="A25" s="94"/>
      <c r="B25" s="97"/>
      <c r="C25" s="64"/>
      <c r="D25" s="65"/>
      <c r="E25" s="52"/>
      <c r="J25" s="47"/>
    </row>
    <row r="26" spans="1:11" ht="11.25" customHeight="1" x14ac:dyDescent="0.2">
      <c r="A26" s="95"/>
      <c r="B26" s="97"/>
      <c r="C26" s="64"/>
      <c r="D26" s="65"/>
      <c r="E26" s="52"/>
      <c r="G26" s="43"/>
      <c r="I26" s="48"/>
      <c r="J26" s="44"/>
    </row>
    <row r="27" spans="1:11" ht="11.25" customHeight="1" x14ac:dyDescent="0.2">
      <c r="A27" s="95"/>
      <c r="B27" s="97"/>
      <c r="C27" s="66"/>
      <c r="D27" s="65"/>
      <c r="E27" s="52"/>
    </row>
    <row r="28" spans="1:11" ht="11.25" customHeight="1" x14ac:dyDescent="0.2">
      <c r="A28" s="95"/>
      <c r="B28" s="97"/>
      <c r="C28" s="66"/>
      <c r="D28" s="65"/>
      <c r="E28" s="52"/>
      <c r="J28" s="47"/>
    </row>
    <row r="29" spans="1:11" ht="11.25" customHeight="1" x14ac:dyDescent="0.2">
      <c r="A29" s="95"/>
      <c r="B29" s="97"/>
      <c r="C29" s="67"/>
      <c r="D29" s="65"/>
      <c r="E29" s="52"/>
      <c r="I29" s="48"/>
      <c r="J29" s="49"/>
    </row>
    <row r="30" spans="1:11" ht="11.25" customHeight="1" x14ac:dyDescent="0.2">
      <c r="A30" s="95"/>
      <c r="B30" s="97"/>
      <c r="C30" s="48"/>
      <c r="D30" s="50"/>
      <c r="E30" s="53"/>
      <c r="G30" s="43"/>
    </row>
    <row r="31" spans="1:11" ht="11.25" customHeight="1" x14ac:dyDescent="0.2">
      <c r="A31" s="95"/>
      <c r="B31" s="97"/>
      <c r="C31" s="68"/>
      <c r="D31" s="65"/>
      <c r="E31" s="52"/>
      <c r="J31" s="47"/>
    </row>
    <row r="32" spans="1:11" ht="12" customHeight="1" thickBot="1" x14ac:dyDescent="0.25">
      <c r="A32" s="96"/>
      <c r="B32" s="98"/>
      <c r="C32" s="55"/>
      <c r="D32" s="56"/>
      <c r="E32" s="57"/>
      <c r="I32" s="48"/>
      <c r="J32" s="49"/>
    </row>
    <row r="33" spans="1:5" ht="12" thickBot="1" x14ac:dyDescent="0.25">
      <c r="C33" s="48"/>
      <c r="D33" s="50"/>
      <c r="E33" s="49"/>
    </row>
    <row r="34" spans="1:5" x14ac:dyDescent="0.2">
      <c r="A34" s="59" t="s">
        <v>314</v>
      </c>
      <c r="B34" s="60" t="s">
        <v>315</v>
      </c>
      <c r="C34" s="61" t="s">
        <v>316</v>
      </c>
      <c r="D34" s="62" t="s">
        <v>317</v>
      </c>
      <c r="E34" s="63" t="s">
        <v>319</v>
      </c>
    </row>
    <row r="35" spans="1:5" x14ac:dyDescent="0.2">
      <c r="A35" s="94"/>
      <c r="B35" s="97"/>
      <c r="C35" s="64"/>
      <c r="D35" s="65"/>
      <c r="E35" s="52"/>
    </row>
    <row r="36" spans="1:5" x14ac:dyDescent="0.2">
      <c r="A36" s="95"/>
      <c r="B36" s="97"/>
      <c r="C36" s="64"/>
      <c r="D36" s="65"/>
      <c r="E36" s="52"/>
    </row>
    <row r="37" spans="1:5" x14ac:dyDescent="0.2">
      <c r="A37" s="95"/>
      <c r="B37" s="97"/>
      <c r="C37" s="66"/>
      <c r="D37" s="65"/>
      <c r="E37" s="52"/>
    </row>
    <row r="38" spans="1:5" x14ac:dyDescent="0.2">
      <c r="A38" s="95"/>
      <c r="B38" s="97"/>
      <c r="C38" s="66"/>
      <c r="D38" s="65"/>
      <c r="E38" s="52"/>
    </row>
    <row r="39" spans="1:5" x14ac:dyDescent="0.2">
      <c r="A39" s="95"/>
      <c r="B39" s="97"/>
      <c r="C39" s="67"/>
      <c r="D39" s="65"/>
      <c r="E39" s="52"/>
    </row>
    <row r="40" spans="1:5" x14ac:dyDescent="0.2">
      <c r="A40" s="95"/>
      <c r="B40" s="97"/>
      <c r="C40" s="48"/>
      <c r="D40" s="50"/>
      <c r="E40" s="53"/>
    </row>
    <row r="41" spans="1:5" x14ac:dyDescent="0.2">
      <c r="A41" s="95"/>
      <c r="B41" s="97"/>
      <c r="C41" s="68"/>
      <c r="D41" s="65"/>
      <c r="E41" s="52"/>
    </row>
    <row r="42" spans="1:5" ht="12" thickBot="1" x14ac:dyDescent="0.25">
      <c r="A42" s="96"/>
      <c r="B42" s="98"/>
      <c r="C42" s="55"/>
      <c r="D42" s="56"/>
      <c r="E42" s="57"/>
    </row>
  </sheetData>
  <mergeCells count="16">
    <mergeCell ref="H15:H16"/>
    <mergeCell ref="H19:H20"/>
    <mergeCell ref="H21:H22"/>
    <mergeCell ref="H23:H24"/>
    <mergeCell ref="A3:A12"/>
    <mergeCell ref="B3:B12"/>
    <mergeCell ref="G3:G7"/>
    <mergeCell ref="H3:H7"/>
    <mergeCell ref="G9:G11"/>
    <mergeCell ref="H9:H11"/>
    <mergeCell ref="A25:A32"/>
    <mergeCell ref="B25:B32"/>
    <mergeCell ref="A35:A42"/>
    <mergeCell ref="B35:B42"/>
    <mergeCell ref="A15:A22"/>
    <mergeCell ref="B15:B2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0C704-B5D8-4A68-AE7D-6FCC8D4CDD76}">
  <dimension ref="A1:O42"/>
  <sheetViews>
    <sheetView workbookViewId="0">
      <selection activeCell="N24" sqref="N24"/>
    </sheetView>
  </sheetViews>
  <sheetFormatPr defaultRowHeight="11.25" x14ac:dyDescent="0.2"/>
  <cols>
    <col min="1" max="1" width="13.28515625" style="44" bestFit="1" customWidth="1"/>
    <col min="2" max="2" width="18.7109375" style="44" customWidth="1"/>
    <col min="3" max="3" width="9.7109375" style="45" customWidth="1"/>
    <col min="4" max="4" width="5.7109375" style="46" customWidth="1"/>
    <col min="5" max="5" width="10.7109375" style="46" customWidth="1"/>
    <col min="6" max="6" width="5.7109375" style="44" customWidth="1"/>
    <col min="7" max="7" width="17.42578125" style="44" bestFit="1" customWidth="1"/>
    <col min="8" max="8" width="18.7109375" style="44" customWidth="1"/>
    <col min="9" max="9" width="9.7109375" style="45" customWidth="1"/>
    <col min="10" max="10" width="5.7109375" style="46" customWidth="1"/>
    <col min="11" max="11" width="10.7109375" style="46" customWidth="1"/>
    <col min="12" max="16384" width="9.140625" style="44"/>
  </cols>
  <sheetData>
    <row r="1" spans="1:15" ht="12" thickBot="1" x14ac:dyDescent="0.25">
      <c r="A1" s="43" t="s">
        <v>323</v>
      </c>
      <c r="G1" s="43" t="s">
        <v>324</v>
      </c>
    </row>
    <row r="2" spans="1:15" x14ac:dyDescent="0.2">
      <c r="A2" s="59" t="s">
        <v>314</v>
      </c>
      <c r="B2" s="60" t="s">
        <v>315</v>
      </c>
      <c r="C2" s="61" t="s">
        <v>316</v>
      </c>
      <c r="D2" s="62" t="s">
        <v>317</v>
      </c>
      <c r="E2" s="63" t="s">
        <v>319</v>
      </c>
      <c r="G2" s="59" t="s">
        <v>322</v>
      </c>
      <c r="H2" s="60" t="s">
        <v>315</v>
      </c>
      <c r="I2" s="61" t="s">
        <v>316</v>
      </c>
      <c r="J2" s="62" t="s">
        <v>317</v>
      </c>
      <c r="K2" s="63" t="s">
        <v>319</v>
      </c>
    </row>
    <row r="3" spans="1:15" x14ac:dyDescent="0.2">
      <c r="A3" s="94">
        <v>20</v>
      </c>
      <c r="B3" s="97" t="s">
        <v>112</v>
      </c>
      <c r="C3" s="64">
        <v>20</v>
      </c>
      <c r="D3" s="65">
        <f>IF((A$3/prodtype)&gt;=C3,1,0)</f>
        <v>1</v>
      </c>
      <c r="E3" s="52"/>
      <c r="G3" s="94">
        <v>0</v>
      </c>
      <c r="H3" s="99" t="s">
        <v>66</v>
      </c>
      <c r="I3" s="64">
        <v>0</v>
      </c>
      <c r="J3" s="71">
        <f>IF($G$3&gt;I3,1,0)</f>
        <v>0</v>
      </c>
      <c r="K3" s="82"/>
    </row>
    <row r="4" spans="1:15" x14ac:dyDescent="0.2">
      <c r="A4" s="95"/>
      <c r="B4" s="97"/>
      <c r="C4" s="64">
        <v>500</v>
      </c>
      <c r="D4" s="65">
        <f>IF(A$3&gt;C4,1,0)</f>
        <v>0</v>
      </c>
      <c r="E4" s="52"/>
      <c r="G4" s="95"/>
      <c r="H4" s="97"/>
      <c r="I4" s="64">
        <f>ensp</f>
        <v>200</v>
      </c>
      <c r="J4" s="71">
        <f t="shared" ref="J4:J6" si="0">IF($G$3&gt;I4,1,0)</f>
        <v>0</v>
      </c>
      <c r="K4" s="82"/>
    </row>
    <row r="5" spans="1:15" x14ac:dyDescent="0.2">
      <c r="A5" s="95"/>
      <c r="B5" s="97"/>
      <c r="C5" s="64">
        <v>1000</v>
      </c>
      <c r="D5" s="65">
        <f t="shared" ref="D5:D7" si="1">IF(A$3&gt;C5,1,0)</f>
        <v>0</v>
      </c>
      <c r="E5" s="52"/>
      <c r="G5" s="95"/>
      <c r="H5" s="97"/>
      <c r="I5" s="64">
        <v>1000</v>
      </c>
      <c r="J5" s="71">
        <f t="shared" si="0"/>
        <v>0</v>
      </c>
      <c r="K5" s="82"/>
    </row>
    <row r="6" spans="1:15" x14ac:dyDescent="0.2">
      <c r="A6" s="95"/>
      <c r="B6" s="97"/>
      <c r="C6" s="64">
        <v>2000</v>
      </c>
      <c r="D6" s="65">
        <f t="shared" si="1"/>
        <v>0</v>
      </c>
      <c r="E6" s="52"/>
      <c r="G6" s="95"/>
      <c r="H6" s="97"/>
      <c r="I6" s="64">
        <v>3000</v>
      </c>
      <c r="J6" s="71">
        <f t="shared" si="0"/>
        <v>0</v>
      </c>
      <c r="K6" s="82"/>
    </row>
    <row r="7" spans="1:15" ht="12" thickBot="1" x14ac:dyDescent="0.25">
      <c r="A7" s="95"/>
      <c r="B7" s="97"/>
      <c r="C7" s="64">
        <v>4000</v>
      </c>
      <c r="D7" s="65">
        <f t="shared" si="1"/>
        <v>0</v>
      </c>
      <c r="E7" s="52"/>
      <c r="G7" s="96"/>
      <c r="H7" s="98"/>
      <c r="I7" s="48" t="s">
        <v>313</v>
      </c>
      <c r="J7" s="49">
        <f>SUM(J3:J6)</f>
        <v>0</v>
      </c>
      <c r="K7" s="53">
        <f>(2/prodtype)*J7*(J15/4)</f>
        <v>0</v>
      </c>
    </row>
    <row r="8" spans="1:15" x14ac:dyDescent="0.2">
      <c r="A8" s="95"/>
      <c r="B8" s="97"/>
      <c r="C8" s="67">
        <v>8000</v>
      </c>
      <c r="D8" s="65">
        <f>ROUNDDOWN($A$3/C8,0)</f>
        <v>0</v>
      </c>
      <c r="E8" s="53"/>
      <c r="G8" s="59" t="s">
        <v>322</v>
      </c>
      <c r="H8" s="60" t="s">
        <v>315</v>
      </c>
      <c r="I8" s="61" t="s">
        <v>316</v>
      </c>
      <c r="J8" s="62" t="s">
        <v>317</v>
      </c>
      <c r="K8" s="63" t="s">
        <v>319</v>
      </c>
    </row>
    <row r="9" spans="1:15" x14ac:dyDescent="0.2">
      <c r="A9" s="95"/>
      <c r="B9" s="97"/>
      <c r="C9" s="48" t="s">
        <v>313</v>
      </c>
      <c r="D9" s="50">
        <f>SUM(D3:D8)</f>
        <v>1</v>
      </c>
      <c r="E9" s="52"/>
      <c r="G9" s="94">
        <v>0</v>
      </c>
      <c r="H9" s="99" t="s">
        <v>4</v>
      </c>
      <c r="I9" s="64">
        <v>0</v>
      </c>
      <c r="J9" s="71">
        <f>IF($G$9&gt;I9,1,0)</f>
        <v>0</v>
      </c>
      <c r="K9" s="82"/>
    </row>
    <row r="10" spans="1:15" x14ac:dyDescent="0.2">
      <c r="A10" s="95"/>
      <c r="B10" s="97"/>
      <c r="C10" s="90"/>
      <c r="D10" s="65"/>
      <c r="E10" s="52"/>
      <c r="G10" s="95"/>
      <c r="H10" s="97"/>
      <c r="I10" s="64">
        <f>commsboost</f>
        <v>200</v>
      </c>
      <c r="J10" s="71">
        <f>IF($G$9&gt;I10,1,0)</f>
        <v>0</v>
      </c>
      <c r="K10" s="82"/>
    </row>
    <row r="11" spans="1:15" ht="12" thickBot="1" x14ac:dyDescent="0.25">
      <c r="A11" s="95"/>
      <c r="B11" s="97"/>
      <c r="C11" s="90"/>
      <c r="D11" s="65"/>
      <c r="E11" s="52"/>
      <c r="G11" s="96"/>
      <c r="H11" s="98"/>
      <c r="I11" s="55" t="s">
        <v>313</v>
      </c>
      <c r="J11" s="70">
        <f>SUM(J9:J10)</f>
        <v>0</v>
      </c>
      <c r="K11" s="88">
        <f>(2/prodtype)*J11</f>
        <v>0</v>
      </c>
    </row>
    <row r="12" spans="1:15" ht="12" thickBot="1" x14ac:dyDescent="0.25">
      <c r="A12" s="96"/>
      <c r="B12" s="98"/>
      <c r="C12" s="55" t="s">
        <v>313</v>
      </c>
      <c r="D12" s="56">
        <f>SUM(D9:D11)+D8</f>
        <v>1</v>
      </c>
      <c r="E12" s="57">
        <f>D12*(20/prodtype)</f>
        <v>20</v>
      </c>
    </row>
    <row r="13" spans="1:15" ht="12" thickBot="1" x14ac:dyDescent="0.25">
      <c r="C13" s="48"/>
      <c r="D13" s="50"/>
      <c r="E13" s="49"/>
      <c r="G13" s="43" t="s">
        <v>325</v>
      </c>
      <c r="J13" s="44"/>
    </row>
    <row r="14" spans="1:15" x14ac:dyDescent="0.2">
      <c r="A14" s="59" t="s">
        <v>314</v>
      </c>
      <c r="B14" s="60" t="s">
        <v>315</v>
      </c>
      <c r="C14" s="61" t="s">
        <v>316</v>
      </c>
      <c r="D14" s="62" t="s">
        <v>317</v>
      </c>
      <c r="E14" s="63" t="s">
        <v>319</v>
      </c>
      <c r="G14" s="59"/>
      <c r="H14" s="60" t="s">
        <v>315</v>
      </c>
      <c r="I14" s="61"/>
      <c r="J14" s="62" t="s">
        <v>317</v>
      </c>
      <c r="K14" s="63" t="s">
        <v>318</v>
      </c>
    </row>
    <row r="15" spans="1:15" x14ac:dyDescent="0.2">
      <c r="A15" s="94"/>
      <c r="B15" s="99"/>
      <c r="C15" s="64"/>
      <c r="D15" s="65"/>
      <c r="E15" s="52"/>
      <c r="G15" s="73"/>
      <c r="H15" s="101" t="s">
        <v>331</v>
      </c>
      <c r="I15" s="84" t="s">
        <v>326</v>
      </c>
      <c r="J15" s="74">
        <f>D12+D22+D32+D42</f>
        <v>1</v>
      </c>
      <c r="K15" s="75">
        <f>(16/prodtype)*J15</f>
        <v>16</v>
      </c>
      <c r="L15" s="79"/>
      <c r="M15" s="79"/>
      <c r="O15" s="87"/>
    </row>
    <row r="16" spans="1:15" x14ac:dyDescent="0.2">
      <c r="A16" s="95"/>
      <c r="B16" s="97"/>
      <c r="C16" s="64"/>
      <c r="D16" s="65"/>
      <c r="E16" s="52"/>
      <c r="G16" s="76"/>
      <c r="H16" s="100"/>
      <c r="I16" s="85" t="s">
        <v>327</v>
      </c>
      <c r="J16" s="77">
        <f>J7+J11</f>
        <v>0</v>
      </c>
      <c r="K16" s="80">
        <f>((4/prodtype)*J16)*(J15/4)</f>
        <v>0</v>
      </c>
      <c r="L16" s="87"/>
    </row>
    <row r="17" spans="1:11" ht="13.5" x14ac:dyDescent="0.2">
      <c r="A17" s="95"/>
      <c r="B17" s="97"/>
      <c r="C17" s="66"/>
      <c r="D17" s="65"/>
      <c r="E17" s="52"/>
      <c r="G17" s="51"/>
      <c r="H17" s="58"/>
      <c r="J17" s="47"/>
      <c r="K17" s="81">
        <f>SUM(K15:K16)</f>
        <v>16</v>
      </c>
    </row>
    <row r="18" spans="1:11" x14ac:dyDescent="0.2">
      <c r="A18" s="95"/>
      <c r="B18" s="97"/>
      <c r="C18" s="66"/>
      <c r="D18" s="65"/>
      <c r="E18" s="52"/>
      <c r="G18" s="51"/>
      <c r="I18" s="48"/>
      <c r="K18" s="82"/>
    </row>
    <row r="19" spans="1:11" x14ac:dyDescent="0.2">
      <c r="A19" s="95"/>
      <c r="B19" s="97"/>
      <c r="C19" s="67"/>
      <c r="D19" s="65"/>
      <c r="E19" s="52"/>
      <c r="G19" s="73"/>
      <c r="H19" s="99" t="s">
        <v>4</v>
      </c>
      <c r="I19" s="84"/>
      <c r="J19" s="74">
        <f>J15</f>
        <v>1</v>
      </c>
      <c r="K19" s="89">
        <f>(2/prodtype)*J7*(J15/4)</f>
        <v>0</v>
      </c>
    </row>
    <row r="20" spans="1:11" x14ac:dyDescent="0.2">
      <c r="A20" s="95"/>
      <c r="B20" s="97"/>
      <c r="C20" s="48"/>
      <c r="D20" s="50"/>
      <c r="E20" s="53"/>
      <c r="G20" s="76"/>
      <c r="H20" s="100"/>
      <c r="I20" s="85"/>
      <c r="J20" s="77"/>
      <c r="K20" s="78"/>
    </row>
    <row r="21" spans="1:11" x14ac:dyDescent="0.2">
      <c r="A21" s="95"/>
      <c r="B21" s="97"/>
      <c r="C21" s="68"/>
      <c r="D21" s="65"/>
      <c r="E21" s="52"/>
      <c r="G21" s="73"/>
      <c r="H21" s="99"/>
      <c r="I21" s="84"/>
      <c r="J21" s="74"/>
      <c r="K21" s="75"/>
    </row>
    <row r="22" spans="1:11" ht="12" thickBot="1" x14ac:dyDescent="0.25">
      <c r="A22" s="96"/>
      <c r="B22" s="98"/>
      <c r="C22" s="55"/>
      <c r="D22" s="56"/>
      <c r="E22" s="57"/>
      <c r="G22" s="51"/>
      <c r="H22" s="97"/>
      <c r="J22" s="47"/>
      <c r="K22" s="69"/>
    </row>
    <row r="23" spans="1:11" ht="12" thickBot="1" x14ac:dyDescent="0.25">
      <c r="C23" s="48"/>
      <c r="D23" s="50"/>
      <c r="E23" s="49"/>
      <c r="G23" s="73"/>
      <c r="H23" s="99"/>
      <c r="I23" s="84"/>
      <c r="J23" s="74"/>
      <c r="K23" s="75"/>
    </row>
    <row r="24" spans="1:11" ht="12" thickBot="1" x14ac:dyDescent="0.25">
      <c r="A24" s="59" t="s">
        <v>314</v>
      </c>
      <c r="B24" s="60" t="s">
        <v>315</v>
      </c>
      <c r="C24" s="61" t="s">
        <v>316</v>
      </c>
      <c r="D24" s="62" t="s">
        <v>317</v>
      </c>
      <c r="E24" s="63" t="s">
        <v>319</v>
      </c>
      <c r="G24" s="54"/>
      <c r="H24" s="98"/>
      <c r="I24" s="86"/>
      <c r="J24" s="72"/>
      <c r="K24" s="83"/>
    </row>
    <row r="25" spans="1:11" x14ac:dyDescent="0.2">
      <c r="A25" s="94"/>
      <c r="B25" s="99"/>
      <c r="C25" s="64"/>
      <c r="D25" s="65"/>
      <c r="E25" s="52"/>
      <c r="J25" s="47"/>
    </row>
    <row r="26" spans="1:11" x14ac:dyDescent="0.2">
      <c r="A26" s="95"/>
      <c r="B26" s="97"/>
      <c r="C26" s="64"/>
      <c r="D26" s="65"/>
      <c r="E26" s="52"/>
      <c r="G26" s="43"/>
      <c r="I26" s="48"/>
      <c r="J26" s="44"/>
    </row>
    <row r="27" spans="1:11" x14ac:dyDescent="0.2">
      <c r="A27" s="95"/>
      <c r="B27" s="97"/>
      <c r="C27" s="66"/>
      <c r="D27" s="65"/>
      <c r="E27" s="52"/>
    </row>
    <row r="28" spans="1:11" x14ac:dyDescent="0.2">
      <c r="A28" s="95"/>
      <c r="B28" s="97"/>
      <c r="C28" s="66"/>
      <c r="D28" s="65"/>
      <c r="E28" s="52"/>
      <c r="J28" s="47"/>
    </row>
    <row r="29" spans="1:11" x14ac:dyDescent="0.2">
      <c r="A29" s="95"/>
      <c r="B29" s="97"/>
      <c r="C29" s="67"/>
      <c r="D29" s="65"/>
      <c r="E29" s="52"/>
      <c r="I29" s="48"/>
      <c r="J29" s="49"/>
    </row>
    <row r="30" spans="1:11" x14ac:dyDescent="0.2">
      <c r="A30" s="95"/>
      <c r="B30" s="97"/>
      <c r="C30" s="48"/>
      <c r="D30" s="50"/>
      <c r="E30" s="53"/>
      <c r="G30" s="43"/>
    </row>
    <row r="31" spans="1:11" x14ac:dyDescent="0.2">
      <c r="A31" s="95"/>
      <c r="B31" s="97"/>
      <c r="C31" s="68"/>
      <c r="D31" s="65"/>
      <c r="E31" s="52"/>
      <c r="J31" s="47"/>
    </row>
    <row r="32" spans="1:11" ht="12" thickBot="1" x14ac:dyDescent="0.25">
      <c r="A32" s="96"/>
      <c r="B32" s="98"/>
      <c r="C32" s="55"/>
      <c r="D32" s="56"/>
      <c r="E32" s="57"/>
      <c r="I32" s="48"/>
      <c r="J32" s="49"/>
    </row>
    <row r="33" spans="1:10" ht="12" thickBot="1" x14ac:dyDescent="0.25">
      <c r="C33" s="48"/>
      <c r="D33" s="50"/>
      <c r="E33" s="49"/>
    </row>
    <row r="34" spans="1:10" x14ac:dyDescent="0.2">
      <c r="A34" s="59" t="s">
        <v>314</v>
      </c>
      <c r="B34" s="60" t="s">
        <v>315</v>
      </c>
      <c r="C34" s="61" t="s">
        <v>316</v>
      </c>
      <c r="D34" s="62" t="s">
        <v>317</v>
      </c>
      <c r="E34" s="63" t="s">
        <v>319</v>
      </c>
      <c r="J34" s="47"/>
    </row>
    <row r="35" spans="1:10" x14ac:dyDescent="0.2">
      <c r="A35" s="94"/>
      <c r="B35" s="99"/>
      <c r="C35" s="64"/>
      <c r="D35" s="65"/>
      <c r="E35" s="52"/>
      <c r="I35" s="48"/>
      <c r="J35" s="49"/>
    </row>
    <row r="36" spans="1:10" x14ac:dyDescent="0.2">
      <c r="A36" s="95"/>
      <c r="B36" s="97"/>
      <c r="C36" s="64"/>
      <c r="D36" s="65"/>
      <c r="E36" s="52"/>
    </row>
    <row r="37" spans="1:10" x14ac:dyDescent="0.2">
      <c r="A37" s="95"/>
      <c r="B37" s="97"/>
      <c r="C37" s="66"/>
      <c r="D37" s="65"/>
      <c r="E37" s="52"/>
    </row>
    <row r="38" spans="1:10" x14ac:dyDescent="0.2">
      <c r="A38" s="95"/>
      <c r="B38" s="97"/>
      <c r="C38" s="66"/>
      <c r="D38" s="65"/>
      <c r="E38" s="52"/>
      <c r="I38" s="48"/>
      <c r="J38" s="49"/>
    </row>
    <row r="39" spans="1:10" x14ac:dyDescent="0.2">
      <c r="A39" s="95"/>
      <c r="B39" s="97"/>
      <c r="C39" s="67"/>
      <c r="D39" s="65"/>
      <c r="E39" s="52"/>
    </row>
    <row r="40" spans="1:10" x14ac:dyDescent="0.2">
      <c r="A40" s="95"/>
      <c r="B40" s="97"/>
      <c r="C40" s="48"/>
      <c r="D40" s="50"/>
      <c r="E40" s="53"/>
    </row>
    <row r="41" spans="1:10" x14ac:dyDescent="0.2">
      <c r="A41" s="95"/>
      <c r="B41" s="97"/>
      <c r="C41" s="68"/>
      <c r="D41" s="65"/>
      <c r="E41" s="52"/>
      <c r="I41" s="48"/>
      <c r="J41" s="49"/>
    </row>
    <row r="42" spans="1:10" ht="12" thickBot="1" x14ac:dyDescent="0.25">
      <c r="A42" s="96"/>
      <c r="B42" s="98"/>
      <c r="C42" s="55"/>
      <c r="D42" s="56"/>
      <c r="E42" s="57"/>
    </row>
  </sheetData>
  <mergeCells count="16">
    <mergeCell ref="H15:H16"/>
    <mergeCell ref="H19:H20"/>
    <mergeCell ref="H21:H22"/>
    <mergeCell ref="H23:H24"/>
    <mergeCell ref="A3:A12"/>
    <mergeCell ref="B3:B12"/>
    <mergeCell ref="G3:G7"/>
    <mergeCell ref="H3:H7"/>
    <mergeCell ref="G9:G11"/>
    <mergeCell ref="H9:H11"/>
    <mergeCell ref="A25:A32"/>
    <mergeCell ref="B25:B32"/>
    <mergeCell ref="A35:A42"/>
    <mergeCell ref="B35:B42"/>
    <mergeCell ref="A15:A22"/>
    <mergeCell ref="B15:B2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E3183-4451-4FD3-B04E-055423FC3BBB}">
  <dimension ref="A1:O42"/>
  <sheetViews>
    <sheetView workbookViewId="0">
      <selection activeCell="I28" sqref="I28"/>
    </sheetView>
  </sheetViews>
  <sheetFormatPr defaultRowHeight="11.25" x14ac:dyDescent="0.2"/>
  <cols>
    <col min="1" max="1" width="13.28515625" style="44" bestFit="1" customWidth="1"/>
    <col min="2" max="2" width="18.7109375" style="44" customWidth="1"/>
    <col min="3" max="3" width="9.7109375" style="45" customWidth="1"/>
    <col min="4" max="4" width="5.7109375" style="46" customWidth="1"/>
    <col min="5" max="5" width="10.7109375" style="46" customWidth="1"/>
    <col min="6" max="6" width="5.7109375" style="44" customWidth="1"/>
    <col min="7" max="7" width="17.42578125" style="44" bestFit="1" customWidth="1"/>
    <col min="8" max="8" width="18.7109375" style="44" customWidth="1"/>
    <col min="9" max="9" width="9.7109375" style="45" customWidth="1"/>
    <col min="10" max="10" width="5.7109375" style="46" customWidth="1"/>
    <col min="11" max="11" width="10.7109375" style="46" customWidth="1"/>
    <col min="12" max="16384" width="9.140625" style="44"/>
  </cols>
  <sheetData>
    <row r="1" spans="1:15" ht="12" thickBot="1" x14ac:dyDescent="0.25">
      <c r="A1" s="43" t="s">
        <v>323</v>
      </c>
      <c r="G1" s="43" t="s">
        <v>324</v>
      </c>
    </row>
    <row r="2" spans="1:15" x14ac:dyDescent="0.2">
      <c r="A2" s="59" t="s">
        <v>314</v>
      </c>
      <c r="B2" s="60" t="s">
        <v>315</v>
      </c>
      <c r="C2" s="61" t="s">
        <v>316</v>
      </c>
      <c r="D2" s="62" t="s">
        <v>317</v>
      </c>
      <c r="E2" s="63" t="s">
        <v>319</v>
      </c>
      <c r="G2" s="59" t="s">
        <v>322</v>
      </c>
      <c r="H2" s="60" t="s">
        <v>315</v>
      </c>
      <c r="I2" s="61" t="s">
        <v>316</v>
      </c>
      <c r="J2" s="62" t="s">
        <v>317</v>
      </c>
      <c r="K2" s="63" t="s">
        <v>319</v>
      </c>
    </row>
    <row r="3" spans="1:15" x14ac:dyDescent="0.2">
      <c r="A3" s="94">
        <v>20</v>
      </c>
      <c r="B3" s="97" t="s">
        <v>112</v>
      </c>
      <c r="C3" s="64">
        <v>20</v>
      </c>
      <c r="D3" s="65">
        <f>IF((A$3/prodtype)&gt;=C3,1,0)</f>
        <v>1</v>
      </c>
      <c r="E3" s="52"/>
      <c r="G3" s="94">
        <v>0</v>
      </c>
      <c r="H3" s="99" t="s">
        <v>66</v>
      </c>
      <c r="I3" s="64">
        <v>0</v>
      </c>
      <c r="J3" s="71">
        <f>IF($G$3&gt;I3,1,0)</f>
        <v>0</v>
      </c>
      <c r="K3" s="82"/>
    </row>
    <row r="4" spans="1:15" x14ac:dyDescent="0.2">
      <c r="A4" s="95"/>
      <c r="B4" s="97"/>
      <c r="C4" s="64">
        <v>500</v>
      </c>
      <c r="D4" s="65">
        <f>IF(A$3&gt;C4,1,0)</f>
        <v>0</v>
      </c>
      <c r="E4" s="52"/>
      <c r="G4" s="95"/>
      <c r="H4" s="97"/>
      <c r="I4" s="64">
        <f>ensp</f>
        <v>200</v>
      </c>
      <c r="J4" s="71">
        <f t="shared" ref="J4:J6" si="0">IF($G$3&gt;I4,1,0)</f>
        <v>0</v>
      </c>
      <c r="K4" s="82"/>
    </row>
    <row r="5" spans="1:15" x14ac:dyDescent="0.2">
      <c r="A5" s="95"/>
      <c r="B5" s="97"/>
      <c r="C5" s="64">
        <v>1000</v>
      </c>
      <c r="D5" s="65">
        <f t="shared" ref="D5:D7" si="1">IF(A$3&gt;C5,1,0)</f>
        <v>0</v>
      </c>
      <c r="E5" s="52"/>
      <c r="G5" s="95"/>
      <c r="H5" s="97"/>
      <c r="I5" s="64">
        <v>1000</v>
      </c>
      <c r="J5" s="71">
        <f t="shared" si="0"/>
        <v>0</v>
      </c>
      <c r="K5" s="82"/>
    </row>
    <row r="6" spans="1:15" x14ac:dyDescent="0.2">
      <c r="A6" s="95"/>
      <c r="B6" s="97"/>
      <c r="C6" s="64">
        <v>2000</v>
      </c>
      <c r="D6" s="65">
        <f t="shared" si="1"/>
        <v>0</v>
      </c>
      <c r="E6" s="52"/>
      <c r="G6" s="95"/>
      <c r="H6" s="97"/>
      <c r="I6" s="64">
        <v>3000</v>
      </c>
      <c r="J6" s="71">
        <f t="shared" si="0"/>
        <v>0</v>
      </c>
      <c r="K6" s="82"/>
    </row>
    <row r="7" spans="1:15" ht="12" thickBot="1" x14ac:dyDescent="0.25">
      <c r="A7" s="95"/>
      <c r="B7" s="97"/>
      <c r="C7" s="64">
        <v>4000</v>
      </c>
      <c r="D7" s="65">
        <f t="shared" si="1"/>
        <v>0</v>
      </c>
      <c r="E7" s="52"/>
      <c r="G7" s="96"/>
      <c r="H7" s="98"/>
      <c r="I7" s="48" t="s">
        <v>313</v>
      </c>
      <c r="J7" s="49">
        <f>SUM(J3:J6)</f>
        <v>0</v>
      </c>
      <c r="K7" s="53">
        <f>(2/prodtype)*J7*(J15/4)</f>
        <v>0</v>
      </c>
    </row>
    <row r="8" spans="1:15" x14ac:dyDescent="0.2">
      <c r="A8" s="95"/>
      <c r="B8" s="97"/>
      <c r="C8" s="67">
        <v>8000</v>
      </c>
      <c r="D8" s="65">
        <f>ROUNDDOWN($A$3/C8,0)</f>
        <v>0</v>
      </c>
      <c r="E8" s="53"/>
      <c r="G8" s="59" t="s">
        <v>322</v>
      </c>
      <c r="H8" s="60" t="s">
        <v>315</v>
      </c>
      <c r="I8" s="61" t="s">
        <v>316</v>
      </c>
      <c r="J8" s="62" t="s">
        <v>317</v>
      </c>
      <c r="K8" s="63" t="s">
        <v>319</v>
      </c>
    </row>
    <row r="9" spans="1:15" x14ac:dyDescent="0.2">
      <c r="A9" s="95"/>
      <c r="B9" s="97"/>
      <c r="C9" s="48" t="s">
        <v>313</v>
      </c>
      <c r="D9" s="50">
        <f>SUM(D3:D8)</f>
        <v>1</v>
      </c>
      <c r="E9" s="52"/>
      <c r="G9" s="94">
        <v>0</v>
      </c>
      <c r="H9" s="99" t="s">
        <v>4</v>
      </c>
      <c r="I9" s="64">
        <v>0</v>
      </c>
      <c r="J9" s="71">
        <f>IF($G$9&gt;I9,1,0)</f>
        <v>0</v>
      </c>
      <c r="K9" s="82"/>
    </row>
    <row r="10" spans="1:15" x14ac:dyDescent="0.2">
      <c r="A10" s="95"/>
      <c r="B10" s="97"/>
      <c r="C10" s="90"/>
      <c r="D10" s="65"/>
      <c r="E10" s="52"/>
      <c r="G10" s="95"/>
      <c r="H10" s="97"/>
      <c r="I10" s="64">
        <f>commsboost</f>
        <v>200</v>
      </c>
      <c r="J10" s="71">
        <f>IF($G$9&gt;I10,1,0)</f>
        <v>0</v>
      </c>
      <c r="K10" s="82"/>
    </row>
    <row r="11" spans="1:15" ht="12" thickBot="1" x14ac:dyDescent="0.25">
      <c r="A11" s="95"/>
      <c r="B11" s="97"/>
      <c r="C11" s="90"/>
      <c r="D11" s="65"/>
      <c r="E11" s="52"/>
      <c r="G11" s="96"/>
      <c r="H11" s="98"/>
      <c r="I11" s="55" t="s">
        <v>313</v>
      </c>
      <c r="J11" s="70">
        <f>SUM(J9:J10)</f>
        <v>0</v>
      </c>
      <c r="K11" s="88">
        <f>(2/prodtype)*J11</f>
        <v>0</v>
      </c>
    </row>
    <row r="12" spans="1:15" ht="12" thickBot="1" x14ac:dyDescent="0.25">
      <c r="A12" s="96"/>
      <c r="B12" s="98"/>
      <c r="C12" s="55" t="s">
        <v>313</v>
      </c>
      <c r="D12" s="56">
        <f>SUM(D9:D11)+D8</f>
        <v>1</v>
      </c>
      <c r="E12" s="57">
        <f>D12*(20/prodtype)</f>
        <v>20</v>
      </c>
    </row>
    <row r="13" spans="1:15" ht="12" thickBot="1" x14ac:dyDescent="0.25">
      <c r="C13" s="48"/>
      <c r="D13" s="50"/>
      <c r="E13" s="49"/>
      <c r="G13" s="43" t="s">
        <v>325</v>
      </c>
      <c r="J13" s="44"/>
    </row>
    <row r="14" spans="1:15" x14ac:dyDescent="0.2">
      <c r="A14" s="59" t="s">
        <v>314</v>
      </c>
      <c r="B14" s="60" t="s">
        <v>315</v>
      </c>
      <c r="C14" s="61" t="s">
        <v>316</v>
      </c>
      <c r="D14" s="62" t="s">
        <v>317</v>
      </c>
      <c r="E14" s="63" t="s">
        <v>319</v>
      </c>
      <c r="G14" s="59"/>
      <c r="H14" s="60" t="s">
        <v>315</v>
      </c>
      <c r="I14" s="61"/>
      <c r="J14" s="62" t="s">
        <v>317</v>
      </c>
      <c r="K14" s="63" t="s">
        <v>318</v>
      </c>
    </row>
    <row r="15" spans="1:15" x14ac:dyDescent="0.2">
      <c r="A15" s="94"/>
      <c r="B15" s="99"/>
      <c r="C15" s="64"/>
      <c r="D15" s="65"/>
      <c r="E15" s="52"/>
      <c r="G15" s="73"/>
      <c r="H15" s="101" t="s">
        <v>173</v>
      </c>
      <c r="I15" s="84" t="s">
        <v>326</v>
      </c>
      <c r="J15" s="74">
        <f>D12+D22+D32+D42</f>
        <v>1</v>
      </c>
      <c r="K15" s="75">
        <f>(16/prodtype)*J15</f>
        <v>16</v>
      </c>
      <c r="L15" s="79"/>
      <c r="M15" s="79"/>
      <c r="O15" s="87"/>
    </row>
    <row r="16" spans="1:15" x14ac:dyDescent="0.2">
      <c r="A16" s="95"/>
      <c r="B16" s="97"/>
      <c r="C16" s="64"/>
      <c r="D16" s="65"/>
      <c r="E16" s="52"/>
      <c r="G16" s="76"/>
      <c r="H16" s="100"/>
      <c r="I16" s="85" t="s">
        <v>327</v>
      </c>
      <c r="J16" s="77">
        <f>J7+J11</f>
        <v>0</v>
      </c>
      <c r="K16" s="80">
        <f>((4/prodtype)*J16)*(J15/4)</f>
        <v>0</v>
      </c>
      <c r="L16" s="87"/>
    </row>
    <row r="17" spans="1:11" ht="13.5" x14ac:dyDescent="0.2">
      <c r="A17" s="95"/>
      <c r="B17" s="97"/>
      <c r="C17" s="66"/>
      <c r="D17" s="65"/>
      <c r="E17" s="52"/>
      <c r="G17" s="51"/>
      <c r="H17" s="58"/>
      <c r="J17" s="47"/>
      <c r="K17" s="81">
        <f>SUM(K15:K16)</f>
        <v>16</v>
      </c>
    </row>
    <row r="18" spans="1:11" x14ac:dyDescent="0.2">
      <c r="A18" s="95"/>
      <c r="B18" s="97"/>
      <c r="C18" s="66"/>
      <c r="D18" s="65"/>
      <c r="E18" s="52"/>
      <c r="G18" s="51"/>
      <c r="I18" s="48"/>
      <c r="K18" s="82"/>
    </row>
    <row r="19" spans="1:11" x14ac:dyDescent="0.2">
      <c r="A19" s="95"/>
      <c r="B19" s="97"/>
      <c r="C19" s="67"/>
      <c r="D19" s="65"/>
      <c r="E19" s="52"/>
      <c r="G19" s="73"/>
      <c r="H19" s="99" t="s">
        <v>4</v>
      </c>
      <c r="I19" s="84"/>
      <c r="J19" s="74">
        <f>J15</f>
        <v>1</v>
      </c>
      <c r="K19" s="89">
        <f>(2/prodtype)*J7*(J15/4)</f>
        <v>0</v>
      </c>
    </row>
    <row r="20" spans="1:11" x14ac:dyDescent="0.2">
      <c r="A20" s="95"/>
      <c r="B20" s="97"/>
      <c r="C20" s="48"/>
      <c r="D20" s="50"/>
      <c r="E20" s="53"/>
      <c r="G20" s="76"/>
      <c r="H20" s="100"/>
      <c r="I20" s="85"/>
      <c r="J20" s="77"/>
      <c r="K20" s="78"/>
    </row>
    <row r="21" spans="1:11" ht="11.25" customHeight="1" x14ac:dyDescent="0.2">
      <c r="A21" s="95"/>
      <c r="B21" s="97"/>
      <c r="C21" s="68"/>
      <c r="D21" s="65"/>
      <c r="E21" s="52"/>
      <c r="G21" s="73"/>
      <c r="H21" s="99" t="s">
        <v>55</v>
      </c>
      <c r="I21" s="84"/>
      <c r="J21" s="74">
        <f>J15</f>
        <v>1</v>
      </c>
      <c r="K21" s="75">
        <f>(2/prodtype)*J21</f>
        <v>2</v>
      </c>
    </row>
    <row r="22" spans="1:11" ht="12" customHeight="1" thickBot="1" x14ac:dyDescent="0.25">
      <c r="A22" s="96"/>
      <c r="B22" s="98"/>
      <c r="C22" s="55"/>
      <c r="D22" s="56"/>
      <c r="E22" s="57"/>
      <c r="G22" s="51"/>
      <c r="H22" s="97"/>
      <c r="J22" s="47"/>
      <c r="K22" s="69"/>
    </row>
    <row r="23" spans="1:11" ht="12" customHeight="1" thickBot="1" x14ac:dyDescent="0.25">
      <c r="C23" s="48"/>
      <c r="D23" s="50"/>
      <c r="E23" s="49"/>
      <c r="G23" s="73"/>
      <c r="H23" s="99" t="s">
        <v>53</v>
      </c>
      <c r="I23" s="84"/>
      <c r="J23" s="74">
        <f>J21</f>
        <v>1</v>
      </c>
      <c r="K23" s="75">
        <f>(2/prodtype)*J23</f>
        <v>2</v>
      </c>
    </row>
    <row r="24" spans="1:11" ht="12" customHeight="1" thickBot="1" x14ac:dyDescent="0.25">
      <c r="A24" s="59" t="s">
        <v>314</v>
      </c>
      <c r="B24" s="60" t="s">
        <v>315</v>
      </c>
      <c r="C24" s="61" t="s">
        <v>316</v>
      </c>
      <c r="D24" s="62" t="s">
        <v>317</v>
      </c>
      <c r="E24" s="63" t="s">
        <v>319</v>
      </c>
      <c r="G24" s="54"/>
      <c r="H24" s="98"/>
      <c r="I24" s="86"/>
      <c r="J24" s="72"/>
      <c r="K24" s="83"/>
    </row>
    <row r="25" spans="1:11" x14ac:dyDescent="0.2">
      <c r="A25" s="94"/>
      <c r="B25" s="99"/>
      <c r="C25" s="64"/>
      <c r="D25" s="65"/>
      <c r="E25" s="52"/>
      <c r="J25" s="47"/>
    </row>
    <row r="26" spans="1:11" x14ac:dyDescent="0.2">
      <c r="A26" s="95"/>
      <c r="B26" s="97"/>
      <c r="C26" s="64"/>
      <c r="D26" s="65"/>
      <c r="E26" s="52"/>
      <c r="G26" s="43"/>
      <c r="I26" s="48"/>
      <c r="J26" s="44"/>
    </row>
    <row r="27" spans="1:11" x14ac:dyDescent="0.2">
      <c r="A27" s="95"/>
      <c r="B27" s="97"/>
      <c r="C27" s="66"/>
      <c r="D27" s="65"/>
      <c r="E27" s="52"/>
    </row>
    <row r="28" spans="1:11" x14ac:dyDescent="0.2">
      <c r="A28" s="95"/>
      <c r="B28" s="97"/>
      <c r="C28" s="66"/>
      <c r="D28" s="65"/>
      <c r="E28" s="52"/>
      <c r="J28" s="47"/>
    </row>
    <row r="29" spans="1:11" x14ac:dyDescent="0.2">
      <c r="A29" s="95"/>
      <c r="B29" s="97"/>
      <c r="C29" s="67"/>
      <c r="D29" s="65"/>
      <c r="E29" s="52"/>
      <c r="I29" s="48"/>
      <c r="J29" s="49"/>
    </row>
    <row r="30" spans="1:11" x14ac:dyDescent="0.2">
      <c r="A30" s="95"/>
      <c r="B30" s="97"/>
      <c r="C30" s="48"/>
      <c r="D30" s="50"/>
      <c r="E30" s="53"/>
      <c r="G30" s="43"/>
    </row>
    <row r="31" spans="1:11" x14ac:dyDescent="0.2">
      <c r="A31" s="95"/>
      <c r="B31" s="97"/>
      <c r="C31" s="68"/>
      <c r="D31" s="65"/>
      <c r="E31" s="52"/>
      <c r="J31" s="47"/>
    </row>
    <row r="32" spans="1:11" ht="12" thickBot="1" x14ac:dyDescent="0.25">
      <c r="A32" s="96"/>
      <c r="B32" s="98"/>
      <c r="C32" s="55"/>
      <c r="D32" s="56"/>
      <c r="E32" s="57"/>
      <c r="I32" s="48"/>
      <c r="J32" s="49"/>
    </row>
    <row r="33" spans="1:10" ht="12" thickBot="1" x14ac:dyDescent="0.25">
      <c r="C33" s="48"/>
      <c r="D33" s="50"/>
      <c r="E33" s="49"/>
    </row>
    <row r="34" spans="1:10" x14ac:dyDescent="0.2">
      <c r="A34" s="59" t="s">
        <v>314</v>
      </c>
      <c r="B34" s="60" t="s">
        <v>315</v>
      </c>
      <c r="C34" s="61" t="s">
        <v>316</v>
      </c>
      <c r="D34" s="62" t="s">
        <v>317</v>
      </c>
      <c r="E34" s="63" t="s">
        <v>319</v>
      </c>
      <c r="J34" s="47"/>
    </row>
    <row r="35" spans="1:10" x14ac:dyDescent="0.2">
      <c r="A35" s="94"/>
      <c r="B35" s="99"/>
      <c r="C35" s="64"/>
      <c r="D35" s="65"/>
      <c r="E35" s="52"/>
      <c r="I35" s="48"/>
      <c r="J35" s="49"/>
    </row>
    <row r="36" spans="1:10" x14ac:dyDescent="0.2">
      <c r="A36" s="95"/>
      <c r="B36" s="97"/>
      <c r="C36" s="64"/>
      <c r="D36" s="65"/>
      <c r="E36" s="52"/>
    </row>
    <row r="37" spans="1:10" x14ac:dyDescent="0.2">
      <c r="A37" s="95"/>
      <c r="B37" s="97"/>
      <c r="C37" s="66"/>
      <c r="D37" s="65"/>
      <c r="E37" s="52"/>
    </row>
    <row r="38" spans="1:10" x14ac:dyDescent="0.2">
      <c r="A38" s="95"/>
      <c r="B38" s="97"/>
      <c r="C38" s="66"/>
      <c r="D38" s="65"/>
      <c r="E38" s="52"/>
      <c r="I38" s="48"/>
      <c r="J38" s="49"/>
    </row>
    <row r="39" spans="1:10" x14ac:dyDescent="0.2">
      <c r="A39" s="95"/>
      <c r="B39" s="97"/>
      <c r="C39" s="67"/>
      <c r="D39" s="65"/>
      <c r="E39" s="52"/>
    </row>
    <row r="40" spans="1:10" x14ac:dyDescent="0.2">
      <c r="A40" s="95"/>
      <c r="B40" s="97"/>
      <c r="C40" s="48"/>
      <c r="D40" s="50"/>
      <c r="E40" s="53"/>
    </row>
    <row r="41" spans="1:10" x14ac:dyDescent="0.2">
      <c r="A41" s="95"/>
      <c r="B41" s="97"/>
      <c r="C41" s="68"/>
      <c r="D41" s="65"/>
      <c r="E41" s="52"/>
      <c r="I41" s="48"/>
      <c r="J41" s="49"/>
    </row>
    <row r="42" spans="1:10" ht="12" thickBot="1" x14ac:dyDescent="0.25">
      <c r="A42" s="96"/>
      <c r="B42" s="98"/>
      <c r="C42" s="55"/>
      <c r="D42" s="56"/>
      <c r="E42" s="57"/>
    </row>
  </sheetData>
  <mergeCells count="16">
    <mergeCell ref="H15:H16"/>
    <mergeCell ref="H19:H20"/>
    <mergeCell ref="H21:H22"/>
    <mergeCell ref="H23:H24"/>
    <mergeCell ref="A3:A12"/>
    <mergeCell ref="B3:B12"/>
    <mergeCell ref="G3:G7"/>
    <mergeCell ref="H3:H7"/>
    <mergeCell ref="G9:G11"/>
    <mergeCell ref="H9:H11"/>
    <mergeCell ref="A25:A32"/>
    <mergeCell ref="B25:B32"/>
    <mergeCell ref="A35:A42"/>
    <mergeCell ref="B35:B42"/>
    <mergeCell ref="A15:A22"/>
    <mergeCell ref="B15:B2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97C3B-9C6A-4146-A700-E0D33D2EC01B}">
  <dimension ref="A1:O52"/>
  <sheetViews>
    <sheetView workbookViewId="0">
      <selection activeCell="G33" sqref="G33"/>
    </sheetView>
  </sheetViews>
  <sheetFormatPr defaultRowHeight="11.25" x14ac:dyDescent="0.2"/>
  <cols>
    <col min="1" max="1" width="13.28515625" style="44" bestFit="1" customWidth="1"/>
    <col min="2" max="2" width="18.7109375" style="44" customWidth="1"/>
    <col min="3" max="3" width="9.7109375" style="45" customWidth="1"/>
    <col min="4" max="4" width="5.7109375" style="46" customWidth="1"/>
    <col min="5" max="5" width="10.7109375" style="46" customWidth="1"/>
    <col min="6" max="6" width="5.7109375" style="44" customWidth="1"/>
    <col min="7" max="7" width="17.42578125" style="44" bestFit="1" customWidth="1"/>
    <col min="8" max="8" width="18.7109375" style="44" customWidth="1"/>
    <col min="9" max="9" width="9.7109375" style="45" customWidth="1"/>
    <col min="10" max="10" width="5.7109375" style="46" customWidth="1"/>
    <col min="11" max="11" width="10.7109375" style="46" customWidth="1"/>
    <col min="12" max="16384" width="9.140625" style="44"/>
  </cols>
  <sheetData>
    <row r="1" spans="1:15" ht="12" thickBot="1" x14ac:dyDescent="0.25">
      <c r="A1" s="43" t="s">
        <v>323</v>
      </c>
      <c r="G1" s="43" t="s">
        <v>324</v>
      </c>
    </row>
    <row r="2" spans="1:15" x14ac:dyDescent="0.2">
      <c r="A2" s="59" t="s">
        <v>314</v>
      </c>
      <c r="B2" s="60" t="s">
        <v>315</v>
      </c>
      <c r="C2" s="61" t="s">
        <v>316</v>
      </c>
      <c r="D2" s="62" t="s">
        <v>317</v>
      </c>
      <c r="E2" s="63" t="s">
        <v>319</v>
      </c>
      <c r="G2" s="59" t="s">
        <v>322</v>
      </c>
      <c r="H2" s="60" t="s">
        <v>315</v>
      </c>
      <c r="I2" s="61" t="s">
        <v>316</v>
      </c>
      <c r="J2" s="62" t="s">
        <v>317</v>
      </c>
      <c r="K2" s="63" t="s">
        <v>319</v>
      </c>
    </row>
    <row r="3" spans="1:15" x14ac:dyDescent="0.2">
      <c r="A3" s="94">
        <v>20</v>
      </c>
      <c r="B3" s="97" t="s">
        <v>237</v>
      </c>
      <c r="C3" s="64">
        <v>20</v>
      </c>
      <c r="D3" s="65">
        <f>IF((A$3/prodtype)&gt;=C3,1,0)</f>
        <v>1</v>
      </c>
      <c r="E3" s="52"/>
      <c r="G3" s="94">
        <v>0</v>
      </c>
      <c r="H3" s="99" t="s">
        <v>66</v>
      </c>
      <c r="I3" s="64">
        <v>0</v>
      </c>
      <c r="J3" s="71">
        <f>IF($G$3&gt;I3,1,0)</f>
        <v>0</v>
      </c>
      <c r="K3" s="82"/>
    </row>
    <row r="4" spans="1:15" x14ac:dyDescent="0.2">
      <c r="A4" s="95"/>
      <c r="B4" s="97"/>
      <c r="C4" s="64">
        <v>500</v>
      </c>
      <c r="D4" s="65">
        <f>IF(A$3&gt;C4,1,0)</f>
        <v>0</v>
      </c>
      <c r="E4" s="52"/>
      <c r="G4" s="95"/>
      <c r="H4" s="97"/>
      <c r="I4" s="64">
        <f>ensp</f>
        <v>200</v>
      </c>
      <c r="J4" s="71">
        <f t="shared" ref="J4:J6" si="0">IF($G$3&gt;I4,1,0)</f>
        <v>0</v>
      </c>
      <c r="K4" s="82"/>
    </row>
    <row r="5" spans="1:15" x14ac:dyDescent="0.2">
      <c r="A5" s="95"/>
      <c r="B5" s="97"/>
      <c r="C5" s="66">
        <v>1000</v>
      </c>
      <c r="D5" s="65">
        <f>IF(AND($A$15&gt;=baseprod)*A$3&gt;C5,1,0)</f>
        <v>0</v>
      </c>
      <c r="E5" s="52"/>
      <c r="G5" s="95"/>
      <c r="H5" s="97"/>
      <c r="I5" s="64">
        <v>1000</v>
      </c>
      <c r="J5" s="71">
        <f t="shared" si="0"/>
        <v>0</v>
      </c>
      <c r="K5" s="82"/>
    </row>
    <row r="6" spans="1:15" x14ac:dyDescent="0.2">
      <c r="A6" s="95"/>
      <c r="B6" s="97"/>
      <c r="C6" s="66">
        <v>2500</v>
      </c>
      <c r="D6" s="65">
        <f>IF(AND($A$15&gt;=baseprod)*A$3&gt;C6,1,0)</f>
        <v>0</v>
      </c>
      <c r="E6" s="52"/>
      <c r="G6" s="95"/>
      <c r="H6" s="97"/>
      <c r="I6" s="64">
        <v>3000</v>
      </c>
      <c r="J6" s="71">
        <f t="shared" si="0"/>
        <v>0</v>
      </c>
      <c r="K6" s="82"/>
    </row>
    <row r="7" spans="1:15" ht="12" thickBot="1" x14ac:dyDescent="0.25">
      <c r="A7" s="95"/>
      <c r="B7" s="97"/>
      <c r="C7" s="67">
        <v>8000</v>
      </c>
      <c r="D7" s="65">
        <f>ROUNDDOWN($A$3/C7,0)</f>
        <v>0</v>
      </c>
      <c r="E7" s="52"/>
      <c r="G7" s="96"/>
      <c r="H7" s="98"/>
      <c r="I7" s="48" t="s">
        <v>313</v>
      </c>
      <c r="J7" s="49">
        <f>SUM(J3:J6)</f>
        <v>0</v>
      </c>
      <c r="K7" s="53">
        <f>(2/prodtype)*J7*(J15/4)</f>
        <v>0</v>
      </c>
    </row>
    <row r="8" spans="1:15" x14ac:dyDescent="0.2">
      <c r="A8" s="95"/>
      <c r="B8" s="97"/>
      <c r="C8" s="48" t="s">
        <v>309</v>
      </c>
      <c r="D8" s="50">
        <f>SUM(D3:D7)</f>
        <v>1</v>
      </c>
      <c r="E8" s="53"/>
      <c r="G8" s="59" t="s">
        <v>322</v>
      </c>
      <c r="H8" s="60" t="s">
        <v>315</v>
      </c>
      <c r="I8" s="61" t="s">
        <v>316</v>
      </c>
      <c r="J8" s="62" t="s">
        <v>317</v>
      </c>
      <c r="K8" s="63" t="s">
        <v>319</v>
      </c>
    </row>
    <row r="9" spans="1:15" x14ac:dyDescent="0.2">
      <c r="A9" s="95"/>
      <c r="B9" s="97"/>
      <c r="C9" s="68" t="s">
        <v>310</v>
      </c>
      <c r="D9" s="65">
        <f>(IF($A$15&gt;synergy,1,0))*(IF($A$3&gt;synergy,1,0))</f>
        <v>0</v>
      </c>
      <c r="E9" s="52"/>
      <c r="G9" s="94">
        <v>0</v>
      </c>
      <c r="H9" s="99" t="s">
        <v>4</v>
      </c>
      <c r="I9" s="64">
        <v>0</v>
      </c>
      <c r="J9" s="71">
        <f>IF($G$9&gt;I9,1,0)</f>
        <v>0</v>
      </c>
      <c r="K9" s="82"/>
    </row>
    <row r="10" spans="1:15" x14ac:dyDescent="0.2">
      <c r="A10" s="95"/>
      <c r="B10" s="97"/>
      <c r="C10" s="68" t="s">
        <v>311</v>
      </c>
      <c r="D10" s="65">
        <f>(IF($A$25&gt;synergy,1,0))*(IF($A$3&gt;synergy,1,0))</f>
        <v>0</v>
      </c>
      <c r="E10" s="52"/>
      <c r="G10" s="95"/>
      <c r="H10" s="97"/>
      <c r="I10" s="64">
        <f>commsboost</f>
        <v>200</v>
      </c>
      <c r="J10" s="71">
        <f>IF($G$9&gt;I10,1,0)</f>
        <v>0</v>
      </c>
      <c r="K10" s="82"/>
    </row>
    <row r="11" spans="1:15" ht="12" thickBot="1" x14ac:dyDescent="0.25">
      <c r="A11" s="95"/>
      <c r="B11" s="97"/>
      <c r="C11" s="68" t="s">
        <v>312</v>
      </c>
      <c r="D11" s="65">
        <f>(IF($A$35&gt;synergy,1,0))*(IF($A$3&gt;synergy,1,0))</f>
        <v>0</v>
      </c>
      <c r="E11" s="52"/>
      <c r="G11" s="96"/>
      <c r="H11" s="98"/>
      <c r="I11" s="55" t="s">
        <v>313</v>
      </c>
      <c r="J11" s="70">
        <f>SUM(J9:J10)</f>
        <v>0</v>
      </c>
      <c r="K11" s="88">
        <f>(2/prodtype)*J11</f>
        <v>0</v>
      </c>
    </row>
    <row r="12" spans="1:15" ht="12" thickBot="1" x14ac:dyDescent="0.25">
      <c r="A12" s="96"/>
      <c r="B12" s="98"/>
      <c r="C12" s="55" t="s">
        <v>313</v>
      </c>
      <c r="D12" s="56">
        <f>SUM(D9:D11)+D8</f>
        <v>1</v>
      </c>
      <c r="E12" s="57">
        <f>D12*(20/prodtype)</f>
        <v>20</v>
      </c>
    </row>
    <row r="13" spans="1:15" ht="12" thickBot="1" x14ac:dyDescent="0.25">
      <c r="C13" s="48"/>
      <c r="D13" s="50"/>
      <c r="E13" s="49"/>
      <c r="G13" s="43" t="s">
        <v>325</v>
      </c>
      <c r="J13" s="44"/>
    </row>
    <row r="14" spans="1:15" x14ac:dyDescent="0.2">
      <c r="A14" s="59" t="s">
        <v>314</v>
      </c>
      <c r="B14" s="60" t="s">
        <v>315</v>
      </c>
      <c r="C14" s="61" t="s">
        <v>316</v>
      </c>
      <c r="D14" s="62" t="s">
        <v>317</v>
      </c>
      <c r="E14" s="63" t="s">
        <v>319</v>
      </c>
      <c r="G14" s="59"/>
      <c r="H14" s="60" t="s">
        <v>315</v>
      </c>
      <c r="I14" s="61"/>
      <c r="J14" s="62" t="s">
        <v>317</v>
      </c>
      <c r="K14" s="63" t="s">
        <v>318</v>
      </c>
    </row>
    <row r="15" spans="1:15" x14ac:dyDescent="0.2">
      <c r="A15" s="94">
        <v>0</v>
      </c>
      <c r="B15" s="97" t="s">
        <v>184</v>
      </c>
      <c r="C15" s="64">
        <v>20</v>
      </c>
      <c r="D15" s="65">
        <f>IF((A$15/prodtype)&gt;=C15,1,0)</f>
        <v>0</v>
      </c>
      <c r="E15" s="52"/>
      <c r="G15" s="73"/>
      <c r="H15" s="99" t="s">
        <v>180</v>
      </c>
      <c r="I15" s="84" t="s">
        <v>326</v>
      </c>
      <c r="J15" s="74">
        <f>D12+D22+D32+D42+D52</f>
        <v>1</v>
      </c>
      <c r="K15" s="75">
        <f>(16/prodtype)*J15</f>
        <v>16</v>
      </c>
      <c r="L15" s="79"/>
      <c r="M15" s="79"/>
      <c r="O15" s="87"/>
    </row>
    <row r="16" spans="1:15" x14ac:dyDescent="0.2">
      <c r="A16" s="95"/>
      <c r="B16" s="97"/>
      <c r="C16" s="64">
        <v>800</v>
      </c>
      <c r="D16" s="65">
        <f>IF(A$15&gt;C16,1,0)</f>
        <v>0</v>
      </c>
      <c r="E16" s="52"/>
      <c r="G16" s="76"/>
      <c r="H16" s="100"/>
      <c r="I16" s="85" t="s">
        <v>327</v>
      </c>
      <c r="J16" s="77">
        <f>J7+J11</f>
        <v>0</v>
      </c>
      <c r="K16" s="80">
        <f>((4/prodtype)*J16)*(J15/4)</f>
        <v>0</v>
      </c>
      <c r="L16" s="87"/>
    </row>
    <row r="17" spans="1:11" ht="13.5" x14ac:dyDescent="0.2">
      <c r="A17" s="95"/>
      <c r="B17" s="97"/>
      <c r="C17" s="66">
        <v>1500</v>
      </c>
      <c r="D17" s="65">
        <f>IF(AND($A$3&gt;=baseprod)*A$15&gt;C17,1,0)</f>
        <v>0</v>
      </c>
      <c r="E17" s="52"/>
      <c r="G17" s="51"/>
      <c r="H17" s="58"/>
      <c r="J17" s="47"/>
      <c r="K17" s="81">
        <f>SUM(K15:K16)</f>
        <v>16</v>
      </c>
    </row>
    <row r="18" spans="1:11" x14ac:dyDescent="0.2">
      <c r="A18" s="95"/>
      <c r="B18" s="97"/>
      <c r="C18" s="66"/>
      <c r="D18" s="65"/>
      <c r="E18" s="52"/>
      <c r="G18" s="51"/>
      <c r="I18" s="48"/>
      <c r="K18" s="82"/>
    </row>
    <row r="19" spans="1:11" x14ac:dyDescent="0.2">
      <c r="A19" s="95"/>
      <c r="B19" s="97"/>
      <c r="C19" s="67">
        <v>8000</v>
      </c>
      <c r="D19" s="65">
        <f>ROUNDDOWN($A$15/C19,0)</f>
        <v>0</v>
      </c>
      <c r="E19" s="52"/>
      <c r="G19" s="73"/>
      <c r="H19" s="99" t="s">
        <v>4</v>
      </c>
      <c r="I19" s="84"/>
      <c r="J19" s="74">
        <f>J15</f>
        <v>1</v>
      </c>
      <c r="K19" s="89">
        <f>(2/prodtype)*J7*(J15/4)</f>
        <v>0</v>
      </c>
    </row>
    <row r="20" spans="1:11" x14ac:dyDescent="0.2">
      <c r="A20" s="95"/>
      <c r="B20" s="97"/>
      <c r="C20" s="48" t="s">
        <v>309</v>
      </c>
      <c r="D20" s="50">
        <f>SUM(D15:D19)</f>
        <v>0</v>
      </c>
      <c r="E20" s="53"/>
      <c r="G20" s="76"/>
      <c r="H20" s="100"/>
      <c r="I20" s="85"/>
      <c r="J20" s="77"/>
      <c r="K20" s="78"/>
    </row>
    <row r="21" spans="1:11" x14ac:dyDescent="0.2">
      <c r="A21" s="95"/>
      <c r="B21" s="97"/>
      <c r="C21" s="68" t="s">
        <v>304</v>
      </c>
      <c r="D21" s="65">
        <f>(IF($A$15&gt;synergy,1,0))*(IF($A$3&gt;synergy,1,0))</f>
        <v>0</v>
      </c>
      <c r="E21" s="52"/>
      <c r="G21" s="73"/>
      <c r="H21" s="99" t="s">
        <v>55</v>
      </c>
      <c r="I21" s="84"/>
      <c r="J21" s="74">
        <f>J15</f>
        <v>1</v>
      </c>
      <c r="K21" s="75">
        <f>(2/prodtype)*J21</f>
        <v>2</v>
      </c>
    </row>
    <row r="22" spans="1:11" ht="12" thickBot="1" x14ac:dyDescent="0.25">
      <c r="A22" s="96"/>
      <c r="B22" s="98"/>
      <c r="C22" s="55" t="s">
        <v>313</v>
      </c>
      <c r="D22" s="56">
        <f>SUM(D21)+D20</f>
        <v>0</v>
      </c>
      <c r="E22" s="57">
        <f>D22*(20/prodtype)</f>
        <v>0</v>
      </c>
      <c r="G22" s="51"/>
      <c r="H22" s="97"/>
      <c r="J22" s="47"/>
      <c r="K22" s="69"/>
    </row>
    <row r="23" spans="1:11" ht="12" thickBot="1" x14ac:dyDescent="0.25">
      <c r="C23" s="48"/>
      <c r="D23" s="50"/>
      <c r="E23" s="49"/>
      <c r="G23" s="73"/>
      <c r="H23" s="99" t="s">
        <v>53</v>
      </c>
      <c r="I23" s="84"/>
      <c r="J23" s="74">
        <f>J21</f>
        <v>1</v>
      </c>
      <c r="K23" s="75">
        <f>(2/prodtype)*J23</f>
        <v>2</v>
      </c>
    </row>
    <row r="24" spans="1:11" ht="12" thickBot="1" x14ac:dyDescent="0.25">
      <c r="A24" s="59" t="s">
        <v>314</v>
      </c>
      <c r="B24" s="60" t="s">
        <v>315</v>
      </c>
      <c r="C24" s="61" t="s">
        <v>316</v>
      </c>
      <c r="D24" s="62" t="s">
        <v>317</v>
      </c>
      <c r="E24" s="63" t="s">
        <v>319</v>
      </c>
      <c r="G24" s="54"/>
      <c r="H24" s="98"/>
      <c r="I24" s="86"/>
      <c r="J24" s="72"/>
      <c r="K24" s="83"/>
    </row>
    <row r="25" spans="1:11" ht="11.25" customHeight="1" x14ac:dyDescent="0.2">
      <c r="A25" s="94">
        <v>0</v>
      </c>
      <c r="B25" s="97" t="s">
        <v>128</v>
      </c>
      <c r="C25" s="64">
        <v>20</v>
      </c>
      <c r="D25" s="65">
        <f>IF((A$25/prodtype)&gt;=C25,1,0)</f>
        <v>0</v>
      </c>
      <c r="E25" s="52"/>
      <c r="J25" s="47"/>
    </row>
    <row r="26" spans="1:11" ht="11.25" customHeight="1" x14ac:dyDescent="0.2">
      <c r="A26" s="95"/>
      <c r="B26" s="97"/>
      <c r="C26" s="64">
        <v>800</v>
      </c>
      <c r="D26" s="65">
        <f>IF(A$25&gt;C26,1,0)</f>
        <v>0</v>
      </c>
      <c r="E26" s="52"/>
      <c r="G26" s="43"/>
      <c r="I26" s="48"/>
      <c r="J26" s="44"/>
    </row>
    <row r="27" spans="1:11" ht="11.25" customHeight="1" x14ac:dyDescent="0.2">
      <c r="A27" s="95"/>
      <c r="B27" s="97"/>
      <c r="C27" s="66">
        <v>1500</v>
      </c>
      <c r="D27" s="65">
        <f>IF(AND($A$3&gt;=baseprod)*A$25&gt;C27,1,0)</f>
        <v>0</v>
      </c>
      <c r="E27" s="52"/>
    </row>
    <row r="28" spans="1:11" ht="11.25" customHeight="1" x14ac:dyDescent="0.2">
      <c r="A28" s="95"/>
      <c r="B28" s="97"/>
      <c r="C28" s="66"/>
      <c r="D28" s="65"/>
      <c r="E28" s="52"/>
      <c r="J28" s="47"/>
    </row>
    <row r="29" spans="1:11" ht="11.25" customHeight="1" x14ac:dyDescent="0.2">
      <c r="A29" s="95"/>
      <c r="B29" s="97"/>
      <c r="C29" s="67">
        <v>8000</v>
      </c>
      <c r="D29" s="65">
        <f>ROUNDDOWN($A$25/C29,0)</f>
        <v>0</v>
      </c>
      <c r="E29" s="52"/>
      <c r="I29" s="48"/>
      <c r="J29" s="49"/>
    </row>
    <row r="30" spans="1:11" ht="11.25" customHeight="1" x14ac:dyDescent="0.2">
      <c r="A30" s="95"/>
      <c r="B30" s="97"/>
      <c r="C30" s="48" t="s">
        <v>309</v>
      </c>
      <c r="D30" s="50">
        <f>SUM(D25:D29)</f>
        <v>0</v>
      </c>
      <c r="E30" s="53"/>
      <c r="G30" s="43"/>
    </row>
    <row r="31" spans="1:11" ht="11.25" customHeight="1" x14ac:dyDescent="0.2">
      <c r="A31" s="95"/>
      <c r="B31" s="97"/>
      <c r="C31" s="68" t="s">
        <v>304</v>
      </c>
      <c r="D31" s="65">
        <f>(IF($A$25&gt;synergy,1,0))*(IF($A$3&gt;synergy,1,0))</f>
        <v>0</v>
      </c>
      <c r="E31" s="52"/>
      <c r="J31" s="47"/>
    </row>
    <row r="32" spans="1:11" ht="12" customHeight="1" thickBot="1" x14ac:dyDescent="0.25">
      <c r="A32" s="96"/>
      <c r="B32" s="98"/>
      <c r="C32" s="55" t="s">
        <v>313</v>
      </c>
      <c r="D32" s="56">
        <f>SUM(D31)+D30</f>
        <v>0</v>
      </c>
      <c r="E32" s="57">
        <f>D32*(20/prodtype)</f>
        <v>0</v>
      </c>
      <c r="I32" s="48"/>
      <c r="J32" s="49"/>
    </row>
    <row r="33" spans="1:5" ht="12" thickBot="1" x14ac:dyDescent="0.25">
      <c r="C33" s="48"/>
      <c r="D33" s="50"/>
      <c r="E33" s="49"/>
    </row>
    <row r="34" spans="1:5" x14ac:dyDescent="0.2">
      <c r="A34" s="59" t="s">
        <v>314</v>
      </c>
      <c r="B34" s="60" t="s">
        <v>315</v>
      </c>
      <c r="C34" s="61" t="s">
        <v>316</v>
      </c>
      <c r="D34" s="62" t="s">
        <v>317</v>
      </c>
      <c r="E34" s="63" t="s">
        <v>319</v>
      </c>
    </row>
    <row r="35" spans="1:5" x14ac:dyDescent="0.2">
      <c r="A35" s="94">
        <v>0</v>
      </c>
      <c r="B35" s="97" t="s">
        <v>101</v>
      </c>
      <c r="C35" s="64">
        <v>20</v>
      </c>
      <c r="D35" s="65">
        <f>IF((A$35/prodtype)&gt;=C35,1,0)</f>
        <v>0</v>
      </c>
      <c r="E35" s="52"/>
    </row>
    <row r="36" spans="1:5" x14ac:dyDescent="0.2">
      <c r="A36" s="95"/>
      <c r="B36" s="97"/>
      <c r="C36" s="64">
        <v>800</v>
      </c>
      <c r="D36" s="65">
        <f>IF(A$35&gt;C36,1,0)</f>
        <v>0</v>
      </c>
      <c r="E36" s="52"/>
    </row>
    <row r="37" spans="1:5" x14ac:dyDescent="0.2">
      <c r="A37" s="95"/>
      <c r="B37" s="97"/>
      <c r="C37" s="66">
        <v>1500</v>
      </c>
      <c r="D37" s="65">
        <f>IF(AND($A$3&gt;=baseprod)*A$35&gt;C37,1,0)</f>
        <v>0</v>
      </c>
      <c r="E37" s="52"/>
    </row>
    <row r="38" spans="1:5" x14ac:dyDescent="0.2">
      <c r="A38" s="95"/>
      <c r="B38" s="97"/>
      <c r="C38" s="66"/>
      <c r="D38" s="65"/>
      <c r="E38" s="52"/>
    </row>
    <row r="39" spans="1:5" x14ac:dyDescent="0.2">
      <c r="A39" s="95"/>
      <c r="B39" s="97"/>
      <c r="C39" s="67">
        <v>8000</v>
      </c>
      <c r="D39" s="65">
        <f>ROUNDDOWN($A$35/C39,0)</f>
        <v>0</v>
      </c>
      <c r="E39" s="52"/>
    </row>
    <row r="40" spans="1:5" x14ac:dyDescent="0.2">
      <c r="A40" s="95"/>
      <c r="B40" s="97"/>
      <c r="C40" s="48" t="s">
        <v>309</v>
      </c>
      <c r="D40" s="50">
        <f>SUM(D35:D39)</f>
        <v>0</v>
      </c>
      <c r="E40" s="53"/>
    </row>
    <row r="41" spans="1:5" x14ac:dyDescent="0.2">
      <c r="A41" s="95"/>
      <c r="B41" s="97"/>
      <c r="C41" s="68" t="s">
        <v>304</v>
      </c>
      <c r="D41" s="65">
        <f>(IF($A$35&gt;synergy,1,0))*(IF($A$3&gt;synergy,1,0))</f>
        <v>0</v>
      </c>
      <c r="E41" s="52"/>
    </row>
    <row r="42" spans="1:5" ht="12" thickBot="1" x14ac:dyDescent="0.25">
      <c r="A42" s="96"/>
      <c r="B42" s="98"/>
      <c r="C42" s="55" t="s">
        <v>313</v>
      </c>
      <c r="D42" s="56">
        <f>SUM(D41)+D40</f>
        <v>0</v>
      </c>
      <c r="E42" s="57">
        <f>D42*(20/prodtype)</f>
        <v>0</v>
      </c>
    </row>
    <row r="43" spans="1:5" ht="12" thickBot="1" x14ac:dyDescent="0.25"/>
    <row r="44" spans="1:5" x14ac:dyDescent="0.2">
      <c r="A44" s="59" t="s">
        <v>314</v>
      </c>
      <c r="B44" s="60" t="s">
        <v>315</v>
      </c>
      <c r="C44" s="61" t="s">
        <v>316</v>
      </c>
      <c r="D44" s="62" t="s">
        <v>317</v>
      </c>
      <c r="E44" s="63" t="s">
        <v>319</v>
      </c>
    </row>
    <row r="45" spans="1:5" x14ac:dyDescent="0.2">
      <c r="A45" s="94">
        <v>0</v>
      </c>
      <c r="B45" s="97" t="s">
        <v>183</v>
      </c>
      <c r="C45" s="64">
        <v>20</v>
      </c>
      <c r="D45" s="65">
        <f>IF((A$45/prodtype)&gt;=C45,1,0)</f>
        <v>0</v>
      </c>
      <c r="E45" s="52"/>
    </row>
    <row r="46" spans="1:5" x14ac:dyDescent="0.2">
      <c r="A46" s="95"/>
      <c r="B46" s="97"/>
      <c r="C46" s="64">
        <v>800</v>
      </c>
      <c r="D46" s="65">
        <f>IF(A$45&gt;C46,1,0)</f>
        <v>0</v>
      </c>
      <c r="E46" s="52"/>
    </row>
    <row r="47" spans="1:5" x14ac:dyDescent="0.2">
      <c r="A47" s="95"/>
      <c r="B47" s="97"/>
      <c r="C47" s="66">
        <v>1500</v>
      </c>
      <c r="D47" s="65">
        <f>IF(AND($A$3&gt;=baseprod)*A$45&gt;C47,1,0)</f>
        <v>0</v>
      </c>
      <c r="E47" s="52"/>
    </row>
    <row r="48" spans="1:5" x14ac:dyDescent="0.2">
      <c r="A48" s="95"/>
      <c r="B48" s="97"/>
      <c r="C48" s="66"/>
      <c r="D48" s="65"/>
      <c r="E48" s="52"/>
    </row>
    <row r="49" spans="1:5" x14ac:dyDescent="0.2">
      <c r="A49" s="95"/>
      <c r="B49" s="97"/>
      <c r="C49" s="67">
        <v>8000</v>
      </c>
      <c r="D49" s="65">
        <f>ROUNDDOWN($A$45/C49,0)</f>
        <v>0</v>
      </c>
      <c r="E49" s="52"/>
    </row>
    <row r="50" spans="1:5" x14ac:dyDescent="0.2">
      <c r="A50" s="95"/>
      <c r="B50" s="97"/>
      <c r="C50" s="48" t="s">
        <v>309</v>
      </c>
      <c r="D50" s="50">
        <f>SUM(D45:D49)</f>
        <v>0</v>
      </c>
      <c r="E50" s="53"/>
    </row>
    <row r="51" spans="1:5" x14ac:dyDescent="0.2">
      <c r="A51" s="95"/>
      <c r="B51" s="97"/>
      <c r="C51" s="68" t="s">
        <v>304</v>
      </c>
      <c r="D51" s="65">
        <f>(IF($A$45&gt;synergy,1,0))*(IF($A$3&gt;synergy,1,0))</f>
        <v>0</v>
      </c>
      <c r="E51" s="52"/>
    </row>
    <row r="52" spans="1:5" ht="12" thickBot="1" x14ac:dyDescent="0.25">
      <c r="A52" s="96"/>
      <c r="B52" s="98"/>
      <c r="C52" s="55" t="s">
        <v>313</v>
      </c>
      <c r="D52" s="56">
        <f>SUM(D51)+D50</f>
        <v>0</v>
      </c>
      <c r="E52" s="57">
        <f>D52*(20/prodtype)</f>
        <v>0</v>
      </c>
    </row>
  </sheetData>
  <mergeCells count="18">
    <mergeCell ref="H23:H24"/>
    <mergeCell ref="A3:A12"/>
    <mergeCell ref="B3:B12"/>
    <mergeCell ref="G3:G7"/>
    <mergeCell ref="H3:H7"/>
    <mergeCell ref="G9:G11"/>
    <mergeCell ref="H9:H11"/>
    <mergeCell ref="A15:A22"/>
    <mergeCell ref="B15:B22"/>
    <mergeCell ref="H15:H16"/>
    <mergeCell ref="H19:H20"/>
    <mergeCell ref="H21:H22"/>
    <mergeCell ref="A25:A32"/>
    <mergeCell ref="B25:B32"/>
    <mergeCell ref="A35:A42"/>
    <mergeCell ref="B35:B42"/>
    <mergeCell ref="A45:A52"/>
    <mergeCell ref="B45:B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</vt:i4>
      </vt:variant>
    </vt:vector>
  </HeadingPairs>
  <TitlesOfParts>
    <vt:vector size="32" baseType="lpstr">
      <vt:lpstr>(1)Extraction</vt:lpstr>
      <vt:lpstr>(2)Processing</vt:lpstr>
      <vt:lpstr>(3)Manufacturing</vt:lpstr>
      <vt:lpstr>(4)Distribution</vt:lpstr>
      <vt:lpstr>(5)Utilities</vt:lpstr>
      <vt:lpstr>(6)Import&amp;Export</vt:lpstr>
      <vt:lpstr>SPI</vt:lpstr>
      <vt:lpstr>Cargo List</vt:lpstr>
      <vt:lpstr>Industries (2)</vt:lpstr>
      <vt:lpstr>Industries</vt:lpstr>
      <vt:lpstr>Variables</vt:lpstr>
      <vt:lpstr>Cement(2)</vt:lpstr>
      <vt:lpstr>Petrochemicals or Petroleum(2)</vt:lpstr>
      <vt:lpstr>Glass Products(2)</vt:lpstr>
      <vt:lpstr>Chemical Products(2)</vt:lpstr>
      <vt:lpstr>Steel(2)</vt:lpstr>
      <vt:lpstr>Aluminium(2)</vt:lpstr>
      <vt:lpstr>Copper(2)</vt:lpstr>
      <vt:lpstr>Silicon(2)</vt:lpstr>
      <vt:lpstr>Lithium(2)</vt:lpstr>
      <vt:lpstr>Wood or Paper(2)</vt:lpstr>
      <vt:lpstr>Plastic Products(2)</vt:lpstr>
      <vt:lpstr>Nuclear Fuels(2)</vt:lpstr>
      <vt:lpstr>Fertilizer(2)</vt:lpstr>
      <vt:lpstr>Recycled(2)</vt:lpstr>
      <vt:lpstr>Packaging(3)</vt:lpstr>
      <vt:lpstr>Electronics(3)</vt:lpstr>
      <vt:lpstr>baseprod</vt:lpstr>
      <vt:lpstr>commsboost</vt:lpstr>
      <vt:lpstr>ensp</vt:lpstr>
      <vt:lpstr>prodtype</vt:lpstr>
      <vt:lpstr>synergy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Harvie</dc:creator>
  <cp:lastModifiedBy>Martin Harvie</cp:lastModifiedBy>
  <dcterms:created xsi:type="dcterms:W3CDTF">2024-02-02T20:38:59Z</dcterms:created>
  <dcterms:modified xsi:type="dcterms:W3CDTF">2025-05-05T13:01:57Z</dcterms:modified>
</cp:coreProperties>
</file>