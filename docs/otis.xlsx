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GitHub\OTIS_RI\docs\"/>
    </mc:Choice>
  </mc:AlternateContent>
  <xr:revisionPtr revIDLastSave="0" documentId="13_ncr:1_{32E1E242-C9D7-4604-9441-848497E69492}" xr6:coauthVersionLast="47" xr6:coauthVersionMax="47" xr10:uidLastSave="{00000000-0000-0000-0000-000000000000}"/>
  <bookViews>
    <workbookView xWindow="14295" yWindow="0" windowWidth="14610" windowHeight="15585" tabRatio="934" activeTab="5" xr2:uid="{F14238E8-7359-4A23-95C3-B534CD4647A9}"/>
  </bookViews>
  <sheets>
    <sheet name="cargo" sheetId="1" r:id="rId1"/>
    <sheet name="industries" sheetId="3" r:id="rId2"/>
    <sheet name="houses" sheetId="39" r:id="rId3"/>
    <sheet name="retail" sheetId="40" r:id="rId4"/>
    <sheet name="services" sheetId="41" r:id="rId5"/>
    <sheet name="residential" sheetId="42" r:id="rId6"/>
    <sheet name="explosives" sheetId="38" r:id="rId7"/>
    <sheet name="construction_materials" sheetId="37" r:id="rId8"/>
    <sheet name="manufacturing_supplies" sheetId="36" r:id="rId9"/>
    <sheet name="marine_supplies" sheetId="35" r:id="rId10"/>
    <sheet name="farming_supplies" sheetId="34" r:id="rId11"/>
    <sheet name="engineering_supplies" sheetId="33" r:id="rId12"/>
    <sheet name="food_processing" sheetId="32" r:id="rId13"/>
    <sheet name="consumer_goods" sheetId="31" r:id="rId14"/>
    <sheet name="components" sheetId="30" r:id="rId15"/>
    <sheet name="enrichment" sheetId="26" r:id="rId16"/>
    <sheet name="reclamation" sheetId="25" r:id="rId17"/>
    <sheet name="products" sheetId="24" r:id="rId18"/>
    <sheet name="materials" sheetId="23" r:id="rId19"/>
    <sheet name="chemicals" sheetId="22" r:id="rId20"/>
    <sheet name="refinement" sheetId="21" r:id="rId21"/>
    <sheet name="purification" sheetId="20" r:id="rId22"/>
    <sheet name="metals" sheetId="19" r:id="rId23"/>
    <sheet name="forestry" sheetId="18" r:id="rId24"/>
    <sheet name="cultivation" sheetId="17" r:id="rId25"/>
    <sheet name="husbandry" sheetId="16" r:id="rId26"/>
    <sheet name="mining" sheetId="15" r:id="rId27"/>
    <sheet name="offshore_excavation" sheetId="14" r:id="rId28"/>
    <sheet name="inland_excavation" sheetId="13" r:id="rId29"/>
    <sheet name="offshore_fisheries" sheetId="12" r:id="rId30"/>
    <sheet name="inland_fisheries" sheetId="11" r:id="rId31"/>
    <sheet name="offshore_extraction" sheetId="10" r:id="rId32"/>
    <sheet name="inland_extraction" sheetId="4" r:id="rId33"/>
  </sheets>
  <definedNames>
    <definedName name="_xlnm._FilterDatabase" localSheetId="0" hidden="1">cargo!$A$1:$W$64</definedName>
    <definedName name="_xlnm._FilterDatabase" localSheetId="2" hidden="1">houses!$A$1:$K$1</definedName>
    <definedName name="_xlnm._FilterDatabase" localSheetId="1" hidden="1">industries!$A$1:$P$28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9" l="1"/>
  <c r="B4" i="39"/>
  <c r="C3" i="39"/>
  <c r="B3" i="39"/>
  <c r="C2" i="39"/>
  <c r="B2" i="39"/>
  <c r="J30" i="3"/>
  <c r="B30" i="3"/>
  <c r="C30" i="3"/>
  <c r="I5" i="38"/>
  <c r="I6" i="38" s="1"/>
  <c r="I7" i="38" s="1"/>
  <c r="I8" i="38" s="1"/>
  <c r="I9" i="38" s="1"/>
  <c r="I4" i="38"/>
  <c r="H4" i="38"/>
  <c r="H5" i="38" s="1"/>
  <c r="H6" i="38" s="1"/>
  <c r="H7" i="38" s="1"/>
  <c r="H8" i="38" s="1"/>
  <c r="H9" i="38" s="1"/>
  <c r="G4" i="38"/>
  <c r="G5" i="38" s="1"/>
  <c r="G6" i="38" s="1"/>
  <c r="G7" i="38" s="1"/>
  <c r="G8" i="38" s="1"/>
  <c r="G9" i="38" s="1"/>
  <c r="I3" i="38"/>
  <c r="H3" i="38"/>
  <c r="G3" i="38"/>
  <c r="C3" i="38"/>
  <c r="C4" i="38" s="1"/>
  <c r="D2" i="38"/>
  <c r="J29" i="3"/>
  <c r="B29" i="3"/>
  <c r="C29" i="3"/>
  <c r="T64" i="1"/>
  <c r="B64" i="1"/>
  <c r="P64" i="1"/>
  <c r="B59" i="1"/>
  <c r="P59" i="1"/>
  <c r="D4" i="38" l="1"/>
  <c r="C5" i="38"/>
  <c r="D3" i="38"/>
  <c r="I4" i="37"/>
  <c r="I5" i="37" s="1"/>
  <c r="I6" i="37" s="1"/>
  <c r="I7" i="37" s="1"/>
  <c r="I8" i="37" s="1"/>
  <c r="I9" i="37" s="1"/>
  <c r="D4" i="37"/>
  <c r="C4" i="37"/>
  <c r="C5" i="37" s="1"/>
  <c r="I3" i="37"/>
  <c r="H3" i="37"/>
  <c r="H4" i="37" s="1"/>
  <c r="H5" i="37" s="1"/>
  <c r="H6" i="37" s="1"/>
  <c r="H7" i="37" s="1"/>
  <c r="H8" i="37" s="1"/>
  <c r="H9" i="37" s="1"/>
  <c r="G3" i="37"/>
  <c r="G4" i="37" s="1"/>
  <c r="G5" i="37" s="1"/>
  <c r="G6" i="37" s="1"/>
  <c r="G7" i="37" s="1"/>
  <c r="G8" i="37" s="1"/>
  <c r="G9" i="37" s="1"/>
  <c r="D3" i="37"/>
  <c r="C3" i="37"/>
  <c r="D2" i="37"/>
  <c r="I4" i="36"/>
  <c r="I5" i="36" s="1"/>
  <c r="I6" i="36" s="1"/>
  <c r="I7" i="36" s="1"/>
  <c r="I8" i="36" s="1"/>
  <c r="I9" i="36" s="1"/>
  <c r="I3" i="36"/>
  <c r="H3" i="36"/>
  <c r="H4" i="36" s="1"/>
  <c r="H5" i="36" s="1"/>
  <c r="H6" i="36" s="1"/>
  <c r="H7" i="36" s="1"/>
  <c r="H8" i="36" s="1"/>
  <c r="H9" i="36" s="1"/>
  <c r="G3" i="36"/>
  <c r="G4" i="36" s="1"/>
  <c r="G5" i="36" s="1"/>
  <c r="G6" i="36" s="1"/>
  <c r="G7" i="36" s="1"/>
  <c r="G8" i="36" s="1"/>
  <c r="G9" i="36" s="1"/>
  <c r="D3" i="36"/>
  <c r="C3" i="36"/>
  <c r="C4" i="36" s="1"/>
  <c r="D2" i="36"/>
  <c r="I4" i="35"/>
  <c r="I5" i="35" s="1"/>
  <c r="I6" i="35" s="1"/>
  <c r="I7" i="35" s="1"/>
  <c r="I8" i="35" s="1"/>
  <c r="I9" i="35" s="1"/>
  <c r="I3" i="35"/>
  <c r="H3" i="35"/>
  <c r="H4" i="35" s="1"/>
  <c r="H5" i="35" s="1"/>
  <c r="H6" i="35" s="1"/>
  <c r="H7" i="35" s="1"/>
  <c r="H8" i="35" s="1"/>
  <c r="H9" i="35" s="1"/>
  <c r="G3" i="35"/>
  <c r="G4" i="35" s="1"/>
  <c r="G5" i="35" s="1"/>
  <c r="G6" i="35" s="1"/>
  <c r="G7" i="35" s="1"/>
  <c r="G8" i="35" s="1"/>
  <c r="G9" i="35" s="1"/>
  <c r="D3" i="35"/>
  <c r="C3" i="35"/>
  <c r="C4" i="35" s="1"/>
  <c r="D2" i="35"/>
  <c r="I3" i="34"/>
  <c r="I4" i="34" s="1"/>
  <c r="I5" i="34" s="1"/>
  <c r="I6" i="34" s="1"/>
  <c r="I7" i="34" s="1"/>
  <c r="I8" i="34" s="1"/>
  <c r="I9" i="34" s="1"/>
  <c r="H3" i="34"/>
  <c r="H4" i="34" s="1"/>
  <c r="H5" i="34" s="1"/>
  <c r="H6" i="34" s="1"/>
  <c r="H7" i="34" s="1"/>
  <c r="H8" i="34" s="1"/>
  <c r="H9" i="34" s="1"/>
  <c r="G3" i="34"/>
  <c r="G4" i="34" s="1"/>
  <c r="G5" i="34" s="1"/>
  <c r="G6" i="34" s="1"/>
  <c r="G7" i="34" s="1"/>
  <c r="G8" i="34" s="1"/>
  <c r="G9" i="34" s="1"/>
  <c r="C3" i="34"/>
  <c r="C4" i="34" s="1"/>
  <c r="D2" i="34"/>
  <c r="J20" i="3"/>
  <c r="C20" i="3"/>
  <c r="B20" i="3"/>
  <c r="J19" i="3"/>
  <c r="C19" i="3"/>
  <c r="B19" i="3"/>
  <c r="J18" i="3"/>
  <c r="C18" i="3"/>
  <c r="B18" i="3"/>
  <c r="J17" i="3"/>
  <c r="C17" i="3"/>
  <c r="B17" i="3"/>
  <c r="I4" i="33"/>
  <c r="I5" i="33" s="1"/>
  <c r="I6" i="33" s="1"/>
  <c r="I7" i="33" s="1"/>
  <c r="I8" i="33" s="1"/>
  <c r="I9" i="33" s="1"/>
  <c r="I3" i="33"/>
  <c r="H3" i="33"/>
  <c r="H4" i="33" s="1"/>
  <c r="H5" i="33" s="1"/>
  <c r="H6" i="33" s="1"/>
  <c r="H7" i="33" s="1"/>
  <c r="H8" i="33" s="1"/>
  <c r="H9" i="33" s="1"/>
  <c r="G3" i="33"/>
  <c r="G4" i="33" s="1"/>
  <c r="G5" i="33" s="1"/>
  <c r="G6" i="33" s="1"/>
  <c r="G7" i="33" s="1"/>
  <c r="G8" i="33" s="1"/>
  <c r="G9" i="33" s="1"/>
  <c r="D3" i="33"/>
  <c r="C3" i="33"/>
  <c r="C4" i="33" s="1"/>
  <c r="D2" i="33"/>
  <c r="I4" i="32"/>
  <c r="I5" i="32" s="1"/>
  <c r="I6" i="32" s="1"/>
  <c r="I7" i="32" s="1"/>
  <c r="I8" i="32" s="1"/>
  <c r="I9" i="32" s="1"/>
  <c r="I3" i="32"/>
  <c r="H3" i="32"/>
  <c r="H4" i="32" s="1"/>
  <c r="H5" i="32" s="1"/>
  <c r="H6" i="32" s="1"/>
  <c r="H7" i="32" s="1"/>
  <c r="H8" i="32" s="1"/>
  <c r="H9" i="32" s="1"/>
  <c r="G3" i="32"/>
  <c r="G4" i="32" s="1"/>
  <c r="G5" i="32" s="1"/>
  <c r="G6" i="32" s="1"/>
  <c r="G7" i="32" s="1"/>
  <c r="G8" i="32" s="1"/>
  <c r="G9" i="32" s="1"/>
  <c r="D3" i="32"/>
  <c r="C3" i="32"/>
  <c r="C4" i="32" s="1"/>
  <c r="D2" i="32"/>
  <c r="I3" i="31"/>
  <c r="I4" i="31" s="1"/>
  <c r="I5" i="31" s="1"/>
  <c r="I6" i="31" s="1"/>
  <c r="I7" i="31" s="1"/>
  <c r="I8" i="31" s="1"/>
  <c r="I9" i="31" s="1"/>
  <c r="H3" i="31"/>
  <c r="H4" i="31" s="1"/>
  <c r="H5" i="31" s="1"/>
  <c r="H6" i="31" s="1"/>
  <c r="H7" i="31" s="1"/>
  <c r="H8" i="31" s="1"/>
  <c r="H9" i="31" s="1"/>
  <c r="G3" i="31"/>
  <c r="G4" i="31" s="1"/>
  <c r="G5" i="31" s="1"/>
  <c r="G6" i="31" s="1"/>
  <c r="G7" i="31" s="1"/>
  <c r="G8" i="31" s="1"/>
  <c r="G9" i="31" s="1"/>
  <c r="D3" i="31"/>
  <c r="C3" i="31"/>
  <c r="C4" i="31" s="1"/>
  <c r="D2" i="31"/>
  <c r="C5" i="30"/>
  <c r="C6" i="30" s="1"/>
  <c r="I4" i="30"/>
  <c r="I5" i="30" s="1"/>
  <c r="I6" i="30" s="1"/>
  <c r="I7" i="30" s="1"/>
  <c r="I8" i="30" s="1"/>
  <c r="I9" i="30" s="1"/>
  <c r="C4" i="30"/>
  <c r="D4" i="30" s="1"/>
  <c r="I3" i="30"/>
  <c r="H3" i="30"/>
  <c r="H4" i="30" s="1"/>
  <c r="H5" i="30" s="1"/>
  <c r="H6" i="30" s="1"/>
  <c r="H7" i="30" s="1"/>
  <c r="H8" i="30" s="1"/>
  <c r="H9" i="30" s="1"/>
  <c r="G3" i="30"/>
  <c r="G4" i="30" s="1"/>
  <c r="G5" i="30" s="1"/>
  <c r="G6" i="30" s="1"/>
  <c r="G7" i="30" s="1"/>
  <c r="G8" i="30" s="1"/>
  <c r="G9" i="30" s="1"/>
  <c r="D3" i="30"/>
  <c r="C3" i="30"/>
  <c r="D2" i="30"/>
  <c r="J15" i="3"/>
  <c r="B15" i="3"/>
  <c r="C15" i="3"/>
  <c r="J13" i="3"/>
  <c r="J14" i="3"/>
  <c r="J16" i="3"/>
  <c r="B16" i="3"/>
  <c r="C16" i="3"/>
  <c r="B14" i="3"/>
  <c r="C14" i="3"/>
  <c r="B13" i="3"/>
  <c r="C13" i="3"/>
  <c r="J22" i="3"/>
  <c r="J23" i="3"/>
  <c r="J24" i="3"/>
  <c r="J25" i="3"/>
  <c r="J26" i="3"/>
  <c r="J27" i="3"/>
  <c r="J28" i="3"/>
  <c r="J2" i="3"/>
  <c r="J3" i="3"/>
  <c r="J4" i="3"/>
  <c r="J5" i="3"/>
  <c r="J6" i="3"/>
  <c r="J7" i="3"/>
  <c r="J8" i="3"/>
  <c r="J9" i="3"/>
  <c r="J10" i="3"/>
  <c r="J11" i="3"/>
  <c r="J12" i="3"/>
  <c r="J21" i="3"/>
  <c r="B12" i="3"/>
  <c r="C12" i="3"/>
  <c r="I4" i="26"/>
  <c r="I5" i="26" s="1"/>
  <c r="I6" i="26" s="1"/>
  <c r="I7" i="26" s="1"/>
  <c r="I8" i="26" s="1"/>
  <c r="I9" i="26" s="1"/>
  <c r="I3" i="26"/>
  <c r="H3" i="26"/>
  <c r="H4" i="26" s="1"/>
  <c r="H5" i="26" s="1"/>
  <c r="H6" i="26" s="1"/>
  <c r="H7" i="26" s="1"/>
  <c r="H8" i="26" s="1"/>
  <c r="H9" i="26" s="1"/>
  <c r="G3" i="26"/>
  <c r="G4" i="26" s="1"/>
  <c r="G5" i="26" s="1"/>
  <c r="G6" i="26" s="1"/>
  <c r="G7" i="26" s="1"/>
  <c r="G8" i="26" s="1"/>
  <c r="G9" i="26" s="1"/>
  <c r="D3" i="26"/>
  <c r="C3" i="26"/>
  <c r="C4" i="26" s="1"/>
  <c r="D2" i="26"/>
  <c r="H4" i="25"/>
  <c r="H5" i="25" s="1"/>
  <c r="H6" i="25" s="1"/>
  <c r="H7" i="25" s="1"/>
  <c r="H8" i="25" s="1"/>
  <c r="H9" i="25" s="1"/>
  <c r="I3" i="25"/>
  <c r="I4" i="25" s="1"/>
  <c r="I5" i="25" s="1"/>
  <c r="I6" i="25" s="1"/>
  <c r="I7" i="25" s="1"/>
  <c r="I8" i="25" s="1"/>
  <c r="I9" i="25" s="1"/>
  <c r="H3" i="25"/>
  <c r="G3" i="25"/>
  <c r="G4" i="25" s="1"/>
  <c r="G5" i="25" s="1"/>
  <c r="G6" i="25" s="1"/>
  <c r="G7" i="25" s="1"/>
  <c r="G8" i="25" s="1"/>
  <c r="G9" i="25" s="1"/>
  <c r="C3" i="25"/>
  <c r="C4" i="25" s="1"/>
  <c r="D2" i="25"/>
  <c r="I4" i="24"/>
  <c r="I5" i="24" s="1"/>
  <c r="I6" i="24" s="1"/>
  <c r="I7" i="24" s="1"/>
  <c r="I8" i="24" s="1"/>
  <c r="I9" i="24" s="1"/>
  <c r="H4" i="24"/>
  <c r="H5" i="24" s="1"/>
  <c r="H6" i="24" s="1"/>
  <c r="H7" i="24" s="1"/>
  <c r="H8" i="24" s="1"/>
  <c r="H9" i="24" s="1"/>
  <c r="G4" i="24"/>
  <c r="G5" i="24" s="1"/>
  <c r="G6" i="24" s="1"/>
  <c r="G7" i="24" s="1"/>
  <c r="G8" i="24" s="1"/>
  <c r="G9" i="24" s="1"/>
  <c r="I3" i="24"/>
  <c r="H3" i="24"/>
  <c r="G3" i="24"/>
  <c r="C3" i="24"/>
  <c r="C4" i="24" s="1"/>
  <c r="D2" i="24"/>
  <c r="I4" i="23"/>
  <c r="I5" i="23" s="1"/>
  <c r="I6" i="23" s="1"/>
  <c r="I7" i="23" s="1"/>
  <c r="I8" i="23" s="1"/>
  <c r="I9" i="23" s="1"/>
  <c r="I3" i="23"/>
  <c r="H3" i="23"/>
  <c r="H4" i="23" s="1"/>
  <c r="H5" i="23" s="1"/>
  <c r="H6" i="23" s="1"/>
  <c r="H7" i="23" s="1"/>
  <c r="H8" i="23" s="1"/>
  <c r="H9" i="23" s="1"/>
  <c r="G3" i="23"/>
  <c r="G4" i="23" s="1"/>
  <c r="G5" i="23" s="1"/>
  <c r="G6" i="23" s="1"/>
  <c r="G7" i="23" s="1"/>
  <c r="G8" i="23" s="1"/>
  <c r="G9" i="23" s="1"/>
  <c r="D3" i="23"/>
  <c r="C3" i="23"/>
  <c r="C4" i="23" s="1"/>
  <c r="D2" i="23"/>
  <c r="I5" i="22"/>
  <c r="I6" i="22" s="1"/>
  <c r="I7" i="22" s="1"/>
  <c r="I8" i="22" s="1"/>
  <c r="I9" i="22" s="1"/>
  <c r="I4" i="22"/>
  <c r="H4" i="22"/>
  <c r="H5" i="22" s="1"/>
  <c r="H6" i="22" s="1"/>
  <c r="H7" i="22" s="1"/>
  <c r="H8" i="22" s="1"/>
  <c r="H9" i="22" s="1"/>
  <c r="I3" i="22"/>
  <c r="H3" i="22"/>
  <c r="G3" i="22"/>
  <c r="G4" i="22" s="1"/>
  <c r="G5" i="22" s="1"/>
  <c r="G6" i="22" s="1"/>
  <c r="G7" i="22" s="1"/>
  <c r="G8" i="22" s="1"/>
  <c r="G9" i="22" s="1"/>
  <c r="C3" i="22"/>
  <c r="C4" i="22" s="1"/>
  <c r="D2" i="22"/>
  <c r="I4" i="21"/>
  <c r="I5" i="21" s="1"/>
  <c r="I6" i="21" s="1"/>
  <c r="I7" i="21" s="1"/>
  <c r="I8" i="21" s="1"/>
  <c r="I9" i="21" s="1"/>
  <c r="H4" i="21"/>
  <c r="H5" i="21" s="1"/>
  <c r="H6" i="21" s="1"/>
  <c r="H7" i="21" s="1"/>
  <c r="H8" i="21" s="1"/>
  <c r="H9" i="21" s="1"/>
  <c r="I3" i="21"/>
  <c r="H3" i="21"/>
  <c r="G3" i="21"/>
  <c r="G4" i="21" s="1"/>
  <c r="G5" i="21" s="1"/>
  <c r="G6" i="21" s="1"/>
  <c r="G7" i="21" s="1"/>
  <c r="G8" i="21" s="1"/>
  <c r="G9" i="21" s="1"/>
  <c r="C3" i="21"/>
  <c r="C4" i="21" s="1"/>
  <c r="D2" i="21"/>
  <c r="B28" i="3"/>
  <c r="C28" i="3"/>
  <c r="B27" i="3"/>
  <c r="C27" i="3"/>
  <c r="B26" i="3"/>
  <c r="C26" i="3"/>
  <c r="B25" i="3"/>
  <c r="C25" i="3"/>
  <c r="B24" i="3"/>
  <c r="C24" i="3"/>
  <c r="B23" i="3"/>
  <c r="C23" i="3"/>
  <c r="B22" i="3"/>
  <c r="C22" i="3"/>
  <c r="I4" i="20"/>
  <c r="I5" i="20" s="1"/>
  <c r="I6" i="20" s="1"/>
  <c r="I7" i="20" s="1"/>
  <c r="I8" i="20" s="1"/>
  <c r="I9" i="20" s="1"/>
  <c r="C4" i="20"/>
  <c r="D4" i="20" s="1"/>
  <c r="I3" i="20"/>
  <c r="H3" i="20"/>
  <c r="H4" i="20" s="1"/>
  <c r="H5" i="20" s="1"/>
  <c r="H6" i="20" s="1"/>
  <c r="H7" i="20" s="1"/>
  <c r="H8" i="20" s="1"/>
  <c r="H9" i="20" s="1"/>
  <c r="G3" i="20"/>
  <c r="G4" i="20" s="1"/>
  <c r="G5" i="20" s="1"/>
  <c r="G6" i="20" s="1"/>
  <c r="G7" i="20" s="1"/>
  <c r="G8" i="20" s="1"/>
  <c r="G9" i="20" s="1"/>
  <c r="D3" i="20"/>
  <c r="C3" i="20"/>
  <c r="D2" i="20"/>
  <c r="C5" i="19"/>
  <c r="C6" i="19" s="1"/>
  <c r="I4" i="19"/>
  <c r="I5" i="19" s="1"/>
  <c r="I6" i="19" s="1"/>
  <c r="I7" i="19" s="1"/>
  <c r="I8" i="19" s="1"/>
  <c r="I9" i="19" s="1"/>
  <c r="C4" i="19"/>
  <c r="D4" i="19" s="1"/>
  <c r="I3" i="19"/>
  <c r="H3" i="19"/>
  <c r="H4" i="19" s="1"/>
  <c r="H5" i="19" s="1"/>
  <c r="H6" i="19" s="1"/>
  <c r="H7" i="19" s="1"/>
  <c r="H8" i="19" s="1"/>
  <c r="H9" i="19" s="1"/>
  <c r="G3" i="19"/>
  <c r="G4" i="19" s="1"/>
  <c r="G5" i="19" s="1"/>
  <c r="G6" i="19" s="1"/>
  <c r="G7" i="19" s="1"/>
  <c r="G8" i="19" s="1"/>
  <c r="G9" i="19" s="1"/>
  <c r="D3" i="19"/>
  <c r="C3" i="19"/>
  <c r="D2" i="19"/>
  <c r="C21" i="3"/>
  <c r="B21" i="3"/>
  <c r="I4" i="18"/>
  <c r="I5" i="18" s="1"/>
  <c r="I6" i="18" s="1"/>
  <c r="I7" i="18" s="1"/>
  <c r="I8" i="18" s="1"/>
  <c r="I9" i="18" s="1"/>
  <c r="I3" i="18"/>
  <c r="H3" i="18"/>
  <c r="H4" i="18" s="1"/>
  <c r="H5" i="18" s="1"/>
  <c r="H6" i="18" s="1"/>
  <c r="H7" i="18" s="1"/>
  <c r="H8" i="18" s="1"/>
  <c r="H9" i="18" s="1"/>
  <c r="G3" i="18"/>
  <c r="G4" i="18" s="1"/>
  <c r="G5" i="18" s="1"/>
  <c r="G6" i="18" s="1"/>
  <c r="G7" i="18" s="1"/>
  <c r="G8" i="18" s="1"/>
  <c r="G9" i="18" s="1"/>
  <c r="D3" i="18"/>
  <c r="C3" i="18"/>
  <c r="C4" i="18" s="1"/>
  <c r="D2" i="18"/>
  <c r="I3" i="17"/>
  <c r="I4" i="17" s="1"/>
  <c r="I5" i="17" s="1"/>
  <c r="I6" i="17" s="1"/>
  <c r="I7" i="17" s="1"/>
  <c r="I8" i="17" s="1"/>
  <c r="I9" i="17" s="1"/>
  <c r="H3" i="17"/>
  <c r="H4" i="17" s="1"/>
  <c r="H5" i="17" s="1"/>
  <c r="H6" i="17" s="1"/>
  <c r="H7" i="17" s="1"/>
  <c r="H8" i="17" s="1"/>
  <c r="H9" i="17" s="1"/>
  <c r="G3" i="17"/>
  <c r="G4" i="17" s="1"/>
  <c r="G5" i="17" s="1"/>
  <c r="G6" i="17" s="1"/>
  <c r="G7" i="17" s="1"/>
  <c r="G8" i="17" s="1"/>
  <c r="G9" i="17" s="1"/>
  <c r="C3" i="17"/>
  <c r="C4" i="17" s="1"/>
  <c r="D2" i="17"/>
  <c r="I4" i="16"/>
  <c r="I5" i="16" s="1"/>
  <c r="I6" i="16" s="1"/>
  <c r="I7" i="16" s="1"/>
  <c r="I8" i="16" s="1"/>
  <c r="I9" i="16" s="1"/>
  <c r="I3" i="16"/>
  <c r="H3" i="16"/>
  <c r="H4" i="16" s="1"/>
  <c r="H5" i="16" s="1"/>
  <c r="H6" i="16" s="1"/>
  <c r="H7" i="16" s="1"/>
  <c r="H8" i="16" s="1"/>
  <c r="H9" i="16" s="1"/>
  <c r="G3" i="16"/>
  <c r="G4" i="16" s="1"/>
  <c r="G5" i="16" s="1"/>
  <c r="G6" i="16" s="1"/>
  <c r="G7" i="16" s="1"/>
  <c r="G8" i="16" s="1"/>
  <c r="G9" i="16" s="1"/>
  <c r="D3" i="16"/>
  <c r="C3" i="16"/>
  <c r="C4" i="16" s="1"/>
  <c r="D2" i="16"/>
  <c r="I4" i="15"/>
  <c r="I5" i="15" s="1"/>
  <c r="I6" i="15" s="1"/>
  <c r="I7" i="15" s="1"/>
  <c r="I8" i="15" s="1"/>
  <c r="I9" i="15" s="1"/>
  <c r="I3" i="15"/>
  <c r="H3" i="15"/>
  <c r="H4" i="15" s="1"/>
  <c r="H5" i="15" s="1"/>
  <c r="H6" i="15" s="1"/>
  <c r="H7" i="15" s="1"/>
  <c r="H8" i="15" s="1"/>
  <c r="H9" i="15" s="1"/>
  <c r="G3" i="15"/>
  <c r="G4" i="15" s="1"/>
  <c r="G5" i="15" s="1"/>
  <c r="G6" i="15" s="1"/>
  <c r="G7" i="15" s="1"/>
  <c r="G8" i="15" s="1"/>
  <c r="G9" i="15" s="1"/>
  <c r="D3" i="15"/>
  <c r="C3" i="15"/>
  <c r="C4" i="15" s="1"/>
  <c r="D2" i="15"/>
  <c r="I4" i="14"/>
  <c r="I5" i="14" s="1"/>
  <c r="I6" i="14" s="1"/>
  <c r="I7" i="14" s="1"/>
  <c r="I8" i="14" s="1"/>
  <c r="I9" i="14" s="1"/>
  <c r="I3" i="14"/>
  <c r="H3" i="14"/>
  <c r="H4" i="14" s="1"/>
  <c r="H5" i="14" s="1"/>
  <c r="H6" i="14" s="1"/>
  <c r="H7" i="14" s="1"/>
  <c r="H8" i="14" s="1"/>
  <c r="H9" i="14" s="1"/>
  <c r="G3" i="14"/>
  <c r="G4" i="14" s="1"/>
  <c r="G5" i="14" s="1"/>
  <c r="G6" i="14" s="1"/>
  <c r="G7" i="14" s="1"/>
  <c r="G8" i="14" s="1"/>
  <c r="G9" i="14" s="1"/>
  <c r="D3" i="14"/>
  <c r="C3" i="14"/>
  <c r="C4" i="14" s="1"/>
  <c r="D2" i="14"/>
  <c r="I4" i="13"/>
  <c r="I5" i="13" s="1"/>
  <c r="I6" i="13" s="1"/>
  <c r="I7" i="13" s="1"/>
  <c r="I8" i="13" s="1"/>
  <c r="I9" i="13" s="1"/>
  <c r="H4" i="13"/>
  <c r="H5" i="13" s="1"/>
  <c r="H6" i="13" s="1"/>
  <c r="H7" i="13" s="1"/>
  <c r="H8" i="13" s="1"/>
  <c r="H9" i="13" s="1"/>
  <c r="I3" i="13"/>
  <c r="H3" i="13"/>
  <c r="G3" i="13"/>
  <c r="G4" i="13" s="1"/>
  <c r="G5" i="13" s="1"/>
  <c r="G6" i="13" s="1"/>
  <c r="G7" i="13" s="1"/>
  <c r="G8" i="13" s="1"/>
  <c r="G9" i="13" s="1"/>
  <c r="D3" i="13"/>
  <c r="C3" i="13"/>
  <c r="C4" i="13" s="1"/>
  <c r="D2" i="13"/>
  <c r="I4" i="12"/>
  <c r="I5" i="12" s="1"/>
  <c r="I6" i="12" s="1"/>
  <c r="I7" i="12" s="1"/>
  <c r="I8" i="12" s="1"/>
  <c r="I9" i="12" s="1"/>
  <c r="I3" i="12"/>
  <c r="H3" i="12"/>
  <c r="H4" i="12" s="1"/>
  <c r="H5" i="12" s="1"/>
  <c r="H6" i="12" s="1"/>
  <c r="H7" i="12" s="1"/>
  <c r="H8" i="12" s="1"/>
  <c r="H9" i="12" s="1"/>
  <c r="G3" i="12"/>
  <c r="G4" i="12" s="1"/>
  <c r="G5" i="12" s="1"/>
  <c r="G6" i="12" s="1"/>
  <c r="G7" i="12" s="1"/>
  <c r="G8" i="12" s="1"/>
  <c r="G9" i="12" s="1"/>
  <c r="D3" i="12"/>
  <c r="C3" i="12"/>
  <c r="C4" i="12" s="1"/>
  <c r="D2" i="12"/>
  <c r="H4" i="11"/>
  <c r="H5" i="11" s="1"/>
  <c r="H6" i="11" s="1"/>
  <c r="H7" i="11" s="1"/>
  <c r="H8" i="11" s="1"/>
  <c r="H9" i="11" s="1"/>
  <c r="G4" i="11"/>
  <c r="G5" i="11" s="1"/>
  <c r="G6" i="11" s="1"/>
  <c r="G7" i="11" s="1"/>
  <c r="G8" i="11" s="1"/>
  <c r="G9" i="11" s="1"/>
  <c r="I3" i="11"/>
  <c r="I4" i="11" s="1"/>
  <c r="I5" i="11" s="1"/>
  <c r="I6" i="11" s="1"/>
  <c r="I7" i="11" s="1"/>
  <c r="I8" i="11" s="1"/>
  <c r="I9" i="11" s="1"/>
  <c r="H3" i="11"/>
  <c r="G3" i="11"/>
  <c r="C3" i="11"/>
  <c r="C4" i="11" s="1"/>
  <c r="D2" i="11"/>
  <c r="B11" i="3"/>
  <c r="C11" i="3"/>
  <c r="B10" i="3"/>
  <c r="C10" i="3"/>
  <c r="B9" i="3"/>
  <c r="C9" i="3"/>
  <c r="B8" i="3"/>
  <c r="C8" i="3"/>
  <c r="B7" i="3"/>
  <c r="C7" i="3"/>
  <c r="B6" i="3"/>
  <c r="C6" i="3"/>
  <c r="C5" i="3"/>
  <c r="B5" i="3"/>
  <c r="B4" i="3"/>
  <c r="C4" i="3"/>
  <c r="I5" i="10"/>
  <c r="I6" i="10" s="1"/>
  <c r="I7" i="10" s="1"/>
  <c r="I8" i="10" s="1"/>
  <c r="I9" i="10" s="1"/>
  <c r="H5" i="10"/>
  <c r="H6" i="10" s="1"/>
  <c r="H7" i="10" s="1"/>
  <c r="H8" i="10" s="1"/>
  <c r="H9" i="10" s="1"/>
  <c r="I4" i="10"/>
  <c r="H4" i="10"/>
  <c r="G4" i="10"/>
  <c r="G5" i="10" s="1"/>
  <c r="G6" i="10" s="1"/>
  <c r="G7" i="10" s="1"/>
  <c r="G8" i="10" s="1"/>
  <c r="G9" i="10" s="1"/>
  <c r="D4" i="10"/>
  <c r="C4" i="10"/>
  <c r="C5" i="10" s="1"/>
  <c r="I3" i="10"/>
  <c r="H3" i="10"/>
  <c r="G3" i="10"/>
  <c r="C3" i="10"/>
  <c r="D3" i="10" s="1"/>
  <c r="D2" i="10"/>
  <c r="B3" i="3"/>
  <c r="C3" i="3"/>
  <c r="C6" i="38" l="1"/>
  <c r="D5" i="38"/>
  <c r="C6" i="37"/>
  <c r="D5" i="37"/>
  <c r="D4" i="36"/>
  <c r="C5" i="36"/>
  <c r="D4" i="35"/>
  <c r="C5" i="35"/>
  <c r="D4" i="34"/>
  <c r="C5" i="34"/>
  <c r="D3" i="34"/>
  <c r="D4" i="33"/>
  <c r="C5" i="33"/>
  <c r="D4" i="32"/>
  <c r="C5" i="32"/>
  <c r="D4" i="31"/>
  <c r="C5" i="31"/>
  <c r="D6" i="30"/>
  <c r="C7" i="30"/>
  <c r="D5" i="30"/>
  <c r="D4" i="26"/>
  <c r="C5" i="26"/>
  <c r="D4" i="25"/>
  <c r="C5" i="25"/>
  <c r="D3" i="25"/>
  <c r="D4" i="24"/>
  <c r="C5" i="24"/>
  <c r="D3" i="24"/>
  <c r="D4" i="23"/>
  <c r="C5" i="23"/>
  <c r="D4" i="22"/>
  <c r="C5" i="22"/>
  <c r="D3" i="22"/>
  <c r="C5" i="21"/>
  <c r="D4" i="21"/>
  <c r="D3" i="21"/>
  <c r="C5" i="20"/>
  <c r="D6" i="19"/>
  <c r="C7" i="19"/>
  <c r="D5" i="19"/>
  <c r="D4" i="18"/>
  <c r="C5" i="18"/>
  <c r="D4" i="17"/>
  <c r="C5" i="17"/>
  <c r="D3" i="17"/>
  <c r="C5" i="16"/>
  <c r="D4" i="16"/>
  <c r="D4" i="15"/>
  <c r="C5" i="15"/>
  <c r="D4" i="14"/>
  <c r="C5" i="14"/>
  <c r="D4" i="13"/>
  <c r="C5" i="13"/>
  <c r="D4" i="12"/>
  <c r="C5" i="12"/>
  <c r="D4" i="11"/>
  <c r="C5" i="11"/>
  <c r="D3" i="11"/>
  <c r="C6" i="10"/>
  <c r="D5" i="10"/>
  <c r="C7" i="38" l="1"/>
  <c r="D6" i="38"/>
  <c r="D6" i="37"/>
  <c r="C7" i="37"/>
  <c r="C6" i="36"/>
  <c r="D5" i="36"/>
  <c r="C6" i="35"/>
  <c r="D5" i="35"/>
  <c r="C6" i="34"/>
  <c r="D5" i="34"/>
  <c r="C6" i="33"/>
  <c r="D5" i="33"/>
  <c r="C6" i="32"/>
  <c r="D5" i="32"/>
  <c r="C6" i="31"/>
  <c r="D5" i="31"/>
  <c r="D7" i="30"/>
  <c r="C8" i="30"/>
  <c r="C6" i="26"/>
  <c r="D5" i="26"/>
  <c r="C6" i="25"/>
  <c r="D5" i="25"/>
  <c r="C6" i="24"/>
  <c r="D5" i="24"/>
  <c r="C6" i="23"/>
  <c r="D5" i="23"/>
  <c r="C6" i="22"/>
  <c r="D5" i="22"/>
  <c r="C6" i="21"/>
  <c r="D5" i="21"/>
  <c r="C6" i="20"/>
  <c r="D5" i="20"/>
  <c r="D7" i="19"/>
  <c r="C8" i="19"/>
  <c r="C6" i="18"/>
  <c r="D5" i="18"/>
  <c r="C6" i="17"/>
  <c r="D5" i="17"/>
  <c r="C6" i="16"/>
  <c r="D5" i="16"/>
  <c r="C6" i="15"/>
  <c r="D5" i="15"/>
  <c r="C6" i="14"/>
  <c r="D5" i="14"/>
  <c r="C6" i="13"/>
  <c r="D5" i="13"/>
  <c r="C6" i="12"/>
  <c r="D5" i="12"/>
  <c r="D5" i="11"/>
  <c r="C6" i="11"/>
  <c r="C7" i="10"/>
  <c r="D6" i="10"/>
  <c r="D7" i="38" l="1"/>
  <c r="C8" i="38"/>
  <c r="D7" i="37"/>
  <c r="C8" i="37"/>
  <c r="D6" i="36"/>
  <c r="C7" i="36"/>
  <c r="D6" i="35"/>
  <c r="C7" i="35"/>
  <c r="D6" i="34"/>
  <c r="C7" i="34"/>
  <c r="D6" i="33"/>
  <c r="C7" i="33"/>
  <c r="D6" i="32"/>
  <c r="C7" i="32"/>
  <c r="D6" i="31"/>
  <c r="C7" i="31"/>
  <c r="C9" i="30"/>
  <c r="D8" i="30"/>
  <c r="D6" i="26"/>
  <c r="C7" i="26"/>
  <c r="C7" i="25"/>
  <c r="D6" i="25"/>
  <c r="D6" i="24"/>
  <c r="C7" i="24"/>
  <c r="D6" i="23"/>
  <c r="C7" i="23"/>
  <c r="C7" i="22"/>
  <c r="D6" i="22"/>
  <c r="C7" i="21"/>
  <c r="D6" i="21"/>
  <c r="D6" i="20"/>
  <c r="C7" i="20"/>
  <c r="D8" i="19"/>
  <c r="C9" i="19"/>
  <c r="D6" i="18"/>
  <c r="C7" i="18"/>
  <c r="D6" i="17"/>
  <c r="C7" i="17"/>
  <c r="D6" i="16"/>
  <c r="C7" i="16"/>
  <c r="D6" i="15"/>
  <c r="C7" i="15"/>
  <c r="D6" i="14"/>
  <c r="C7" i="14"/>
  <c r="D6" i="13"/>
  <c r="C7" i="13"/>
  <c r="D6" i="12"/>
  <c r="C7" i="12"/>
  <c r="C7" i="11"/>
  <c r="D6" i="11"/>
  <c r="D7" i="10"/>
  <c r="C8" i="10"/>
  <c r="C9" i="38" l="1"/>
  <c r="D8" i="38"/>
  <c r="C9" i="37"/>
  <c r="D8" i="37"/>
  <c r="D7" i="36"/>
  <c r="C8" i="36"/>
  <c r="D7" i="35"/>
  <c r="C8" i="35"/>
  <c r="D7" i="34"/>
  <c r="C8" i="34"/>
  <c r="D7" i="33"/>
  <c r="C8" i="33"/>
  <c r="C8" i="32"/>
  <c r="D7" i="32"/>
  <c r="D7" i="31"/>
  <c r="C8" i="31"/>
  <c r="D9" i="30"/>
  <c r="C10" i="30"/>
  <c r="D7" i="26"/>
  <c r="C8" i="26"/>
  <c r="D7" i="25"/>
  <c r="C8" i="25"/>
  <c r="D7" i="24"/>
  <c r="C8" i="24"/>
  <c r="C8" i="23"/>
  <c r="D7" i="23"/>
  <c r="D7" i="22"/>
  <c r="C8" i="22"/>
  <c r="D7" i="21"/>
  <c r="C8" i="21"/>
  <c r="D7" i="20"/>
  <c r="C8" i="20"/>
  <c r="D9" i="19"/>
  <c r="C10" i="19"/>
  <c r="D7" i="18"/>
  <c r="C8" i="18"/>
  <c r="D7" i="17"/>
  <c r="C8" i="17"/>
  <c r="D7" i="16"/>
  <c r="C8" i="16"/>
  <c r="C8" i="15"/>
  <c r="D7" i="15"/>
  <c r="D7" i="14"/>
  <c r="C8" i="14"/>
  <c r="C8" i="13"/>
  <c r="D7" i="13"/>
  <c r="D7" i="12"/>
  <c r="C8" i="12"/>
  <c r="D7" i="11"/>
  <c r="C8" i="11"/>
  <c r="C9" i="10"/>
  <c r="D8" i="10"/>
  <c r="C10" i="38" l="1"/>
  <c r="D9" i="38"/>
  <c r="D9" i="37"/>
  <c r="C10" i="37"/>
  <c r="C9" i="36"/>
  <c r="D8" i="36"/>
  <c r="C9" i="35"/>
  <c r="D8" i="35"/>
  <c r="C9" i="34"/>
  <c r="D8" i="34"/>
  <c r="C9" i="33"/>
  <c r="D8" i="33"/>
  <c r="C9" i="32"/>
  <c r="D8" i="32"/>
  <c r="C9" i="31"/>
  <c r="D8" i="31"/>
  <c r="C11" i="30"/>
  <c r="D10" i="30"/>
  <c r="C9" i="26"/>
  <c r="D8" i="26"/>
  <c r="C9" i="25"/>
  <c r="D8" i="25"/>
  <c r="C9" i="24"/>
  <c r="D8" i="24"/>
  <c r="C9" i="23"/>
  <c r="D8" i="23"/>
  <c r="C9" i="22"/>
  <c r="D8" i="22"/>
  <c r="C9" i="21"/>
  <c r="D8" i="21"/>
  <c r="C9" i="20"/>
  <c r="D8" i="20"/>
  <c r="C11" i="19"/>
  <c r="D10" i="19"/>
  <c r="C9" i="18"/>
  <c r="D8" i="18"/>
  <c r="C9" i="17"/>
  <c r="D8" i="17"/>
  <c r="D8" i="16"/>
  <c r="C9" i="16"/>
  <c r="C9" i="15"/>
  <c r="D8" i="15"/>
  <c r="C9" i="14"/>
  <c r="D8" i="14"/>
  <c r="C9" i="13"/>
  <c r="D8" i="13"/>
  <c r="C9" i="12"/>
  <c r="D8" i="12"/>
  <c r="C9" i="11"/>
  <c r="D8" i="11"/>
  <c r="D9" i="10"/>
  <c r="C10" i="10"/>
  <c r="C11" i="38" l="1"/>
  <c r="D10" i="38"/>
  <c r="C11" i="37"/>
  <c r="D10" i="37"/>
  <c r="D9" i="36"/>
  <c r="C10" i="36"/>
  <c r="D9" i="35"/>
  <c r="C10" i="35"/>
  <c r="C10" i="34"/>
  <c r="D9" i="34"/>
  <c r="D9" i="33"/>
  <c r="C10" i="33"/>
  <c r="D9" i="32"/>
  <c r="C10" i="32"/>
  <c r="D9" i="31"/>
  <c r="C10" i="31"/>
  <c r="C12" i="30"/>
  <c r="D11" i="30"/>
  <c r="D9" i="26"/>
  <c r="C10" i="26"/>
  <c r="D9" i="25"/>
  <c r="C10" i="25"/>
  <c r="D9" i="24"/>
  <c r="C10" i="24"/>
  <c r="C10" i="23"/>
  <c r="D9" i="23"/>
  <c r="D9" i="22"/>
  <c r="C10" i="22"/>
  <c r="D9" i="21"/>
  <c r="C10" i="21"/>
  <c r="D9" i="20"/>
  <c r="C10" i="20"/>
  <c r="C12" i="19"/>
  <c r="D11" i="19"/>
  <c r="D9" i="18"/>
  <c r="C10" i="18"/>
  <c r="D9" i="17"/>
  <c r="C10" i="17"/>
  <c r="D9" i="16"/>
  <c r="C10" i="16"/>
  <c r="D9" i="15"/>
  <c r="C10" i="15"/>
  <c r="D9" i="14"/>
  <c r="C10" i="14"/>
  <c r="D9" i="13"/>
  <c r="C10" i="13"/>
  <c r="D9" i="12"/>
  <c r="C10" i="12"/>
  <c r="C10" i="11"/>
  <c r="D9" i="11"/>
  <c r="C11" i="10"/>
  <c r="D10" i="10"/>
  <c r="C12" i="38" l="1"/>
  <c r="D11" i="38"/>
  <c r="C12" i="37"/>
  <c r="D11" i="37"/>
  <c r="C11" i="36"/>
  <c r="D10" i="36"/>
  <c r="D10" i="35"/>
  <c r="C11" i="35"/>
  <c r="D10" i="34"/>
  <c r="C11" i="34"/>
  <c r="C11" i="33"/>
  <c r="D10" i="33"/>
  <c r="C11" i="32"/>
  <c r="D10" i="32"/>
  <c r="C11" i="31"/>
  <c r="D10" i="31"/>
  <c r="D12" i="30"/>
  <c r="C13" i="30"/>
  <c r="C11" i="26"/>
  <c r="D10" i="26"/>
  <c r="C11" i="25"/>
  <c r="D10" i="25"/>
  <c r="C11" i="24"/>
  <c r="D10" i="24"/>
  <c r="C11" i="23"/>
  <c r="D10" i="23"/>
  <c r="C11" i="22"/>
  <c r="D10" i="22"/>
  <c r="C11" i="21"/>
  <c r="D10" i="21"/>
  <c r="C11" i="20"/>
  <c r="D10" i="20"/>
  <c r="D12" i="19"/>
  <c r="C13" i="19"/>
  <c r="C11" i="18"/>
  <c r="D10" i="18"/>
  <c r="C11" i="17"/>
  <c r="D10" i="17"/>
  <c r="C11" i="16"/>
  <c r="D10" i="16"/>
  <c r="C11" i="15"/>
  <c r="D10" i="15"/>
  <c r="C11" i="14"/>
  <c r="D10" i="14"/>
  <c r="C11" i="13"/>
  <c r="D10" i="13"/>
  <c r="C11" i="12"/>
  <c r="D10" i="12"/>
  <c r="C11" i="11"/>
  <c r="D10" i="11"/>
  <c r="C12" i="10"/>
  <c r="D11" i="10"/>
  <c r="C13" i="38" l="1"/>
  <c r="D12" i="38"/>
  <c r="D12" i="37"/>
  <c r="C13" i="37"/>
  <c r="C12" i="36"/>
  <c r="D11" i="36"/>
  <c r="C12" i="35"/>
  <c r="D11" i="35"/>
  <c r="C12" i="34"/>
  <c r="D11" i="34"/>
  <c r="C12" i="33"/>
  <c r="D11" i="33"/>
  <c r="C12" i="32"/>
  <c r="D11" i="32"/>
  <c r="C12" i="31"/>
  <c r="D11" i="31"/>
  <c r="D13" i="30"/>
  <c r="C14" i="30"/>
  <c r="D11" i="26"/>
  <c r="C12" i="26"/>
  <c r="C12" i="25"/>
  <c r="D11" i="25"/>
  <c r="C12" i="24"/>
  <c r="D11" i="24"/>
  <c r="C12" i="23"/>
  <c r="D11" i="23"/>
  <c r="C12" i="22"/>
  <c r="D11" i="22"/>
  <c r="C12" i="21"/>
  <c r="D11" i="21"/>
  <c r="C12" i="20"/>
  <c r="D11" i="20"/>
  <c r="C14" i="19"/>
  <c r="D13" i="19"/>
  <c r="C12" i="18"/>
  <c r="D11" i="18"/>
  <c r="C12" i="17"/>
  <c r="D11" i="17"/>
  <c r="C12" i="16"/>
  <c r="D11" i="16"/>
  <c r="C12" i="15"/>
  <c r="D11" i="15"/>
  <c r="C12" i="14"/>
  <c r="D11" i="14"/>
  <c r="C12" i="13"/>
  <c r="D11" i="13"/>
  <c r="C12" i="12"/>
  <c r="D11" i="12"/>
  <c r="D11" i="11"/>
  <c r="C12" i="11"/>
  <c r="C13" i="10"/>
  <c r="D12" i="10"/>
  <c r="H3" i="4"/>
  <c r="H4" i="4" s="1"/>
  <c r="H5" i="4" s="1"/>
  <c r="H6" i="4" s="1"/>
  <c r="H7" i="4" s="1"/>
  <c r="H8" i="4" s="1"/>
  <c r="H9" i="4" s="1"/>
  <c r="I3" i="4"/>
  <c r="I4" i="4" s="1"/>
  <c r="I5" i="4" s="1"/>
  <c r="I6" i="4" s="1"/>
  <c r="I7" i="4" s="1"/>
  <c r="I8" i="4" s="1"/>
  <c r="I9" i="4" s="1"/>
  <c r="G3" i="4"/>
  <c r="G4" i="4" s="1"/>
  <c r="G5" i="4" s="1"/>
  <c r="G6" i="4" s="1"/>
  <c r="G7" i="4" s="1"/>
  <c r="G8" i="4" s="1"/>
  <c r="G9" i="4" s="1"/>
  <c r="C3" i="4"/>
  <c r="C4" i="4" s="1"/>
  <c r="D2" i="4"/>
  <c r="C2" i="3"/>
  <c r="B2" i="3"/>
  <c r="T3" i="1"/>
  <c r="T4" i="1"/>
  <c r="T6" i="1"/>
  <c r="T7" i="1"/>
  <c r="T8" i="1"/>
  <c r="T10" i="1"/>
  <c r="T11" i="1"/>
  <c r="T12" i="1"/>
  <c r="T13" i="1"/>
  <c r="T14" i="1"/>
  <c r="T16" i="1"/>
  <c r="T17" i="1"/>
  <c r="T18" i="1"/>
  <c r="T19" i="1"/>
  <c r="T26" i="1"/>
  <c r="T27" i="1"/>
  <c r="T28" i="1"/>
  <c r="T30" i="1"/>
  <c r="T61" i="1"/>
  <c r="T32" i="1"/>
  <c r="T33" i="1"/>
  <c r="T35" i="1"/>
  <c r="T63" i="1"/>
  <c r="T36" i="1"/>
  <c r="T62" i="1"/>
  <c r="T38" i="1"/>
  <c r="T39" i="1"/>
  <c r="T40" i="1"/>
  <c r="T42" i="1"/>
  <c r="T44" i="1"/>
  <c r="T45" i="1"/>
  <c r="T46" i="1"/>
  <c r="T47" i="1"/>
  <c r="T49" i="1"/>
  <c r="T53" i="1"/>
  <c r="T57" i="1"/>
  <c r="T58" i="1"/>
  <c r="T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61" i="1"/>
  <c r="P32" i="1"/>
  <c r="P33" i="1"/>
  <c r="P34" i="1"/>
  <c r="P35" i="1"/>
  <c r="P63" i="1"/>
  <c r="P36" i="1"/>
  <c r="P62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60" i="1"/>
  <c r="P2" i="1"/>
  <c r="C14" i="38" l="1"/>
  <c r="D13" i="38"/>
  <c r="C14" i="37"/>
  <c r="D13" i="37"/>
  <c r="D12" i="36"/>
  <c r="C13" i="36"/>
  <c r="D12" i="35"/>
  <c r="C13" i="35"/>
  <c r="D12" i="34"/>
  <c r="C13" i="34"/>
  <c r="D12" i="33"/>
  <c r="C13" i="33"/>
  <c r="D12" i="32"/>
  <c r="C13" i="32"/>
  <c r="D12" i="31"/>
  <c r="C13" i="31"/>
  <c r="C15" i="30"/>
  <c r="D14" i="30"/>
  <c r="D12" i="26"/>
  <c r="C13" i="26"/>
  <c r="D12" i="25"/>
  <c r="C13" i="25"/>
  <c r="C13" i="24"/>
  <c r="D12" i="24"/>
  <c r="D12" i="23"/>
  <c r="C13" i="23"/>
  <c r="C13" i="22"/>
  <c r="D12" i="22"/>
  <c r="C13" i="21"/>
  <c r="D12" i="21"/>
  <c r="D12" i="20"/>
  <c r="C13" i="20"/>
  <c r="C15" i="19"/>
  <c r="D14" i="19"/>
  <c r="D12" i="18"/>
  <c r="C13" i="18"/>
  <c r="D12" i="17"/>
  <c r="C13" i="17"/>
  <c r="D12" i="16"/>
  <c r="C13" i="16"/>
  <c r="D12" i="15"/>
  <c r="C13" i="15"/>
  <c r="D12" i="14"/>
  <c r="C13" i="14"/>
  <c r="D12" i="13"/>
  <c r="C13" i="13"/>
  <c r="D12" i="12"/>
  <c r="C13" i="12"/>
  <c r="C13" i="11"/>
  <c r="D12" i="11"/>
  <c r="C14" i="10"/>
  <c r="D13" i="10"/>
  <c r="D4" i="4"/>
  <c r="C5" i="4"/>
  <c r="D3" i="4"/>
  <c r="B50" i="1"/>
  <c r="B63" i="1"/>
  <c r="B56" i="1"/>
  <c r="B55" i="1"/>
  <c r="B54" i="1"/>
  <c r="B25" i="1"/>
  <c r="B23" i="1"/>
  <c r="B47" i="1"/>
  <c r="B24" i="1"/>
  <c r="B13" i="1"/>
  <c r="B40" i="1"/>
  <c r="B7" i="1"/>
  <c r="B41" i="1"/>
  <c r="B48" i="1"/>
  <c r="B17" i="1"/>
  <c r="B49" i="1"/>
  <c r="B53" i="1"/>
  <c r="B45" i="1"/>
  <c r="B44" i="1"/>
  <c r="B46" i="1"/>
  <c r="B43" i="1"/>
  <c r="B42" i="1"/>
  <c r="B19" i="1"/>
  <c r="B14" i="1"/>
  <c r="B39" i="1"/>
  <c r="B57" i="1"/>
  <c r="B34" i="1"/>
  <c r="B28" i="1"/>
  <c r="B11" i="1"/>
  <c r="B51" i="1"/>
  <c r="B27" i="1"/>
  <c r="B29" i="1"/>
  <c r="B52" i="1"/>
  <c r="B26" i="1"/>
  <c r="B15" i="1"/>
  <c r="B37" i="1"/>
  <c r="B35" i="1"/>
  <c r="B38" i="1"/>
  <c r="B58" i="1"/>
  <c r="B18" i="1"/>
  <c r="B21" i="1"/>
  <c r="B5" i="1"/>
  <c r="B32" i="1"/>
  <c r="B36" i="1"/>
  <c r="B10" i="1"/>
  <c r="B3" i="1"/>
  <c r="B9" i="1"/>
  <c r="B6" i="1"/>
  <c r="B12" i="1"/>
  <c r="B22" i="1"/>
  <c r="B8" i="1"/>
  <c r="B16" i="1"/>
  <c r="B31" i="1"/>
  <c r="B60" i="1"/>
  <c r="B2" i="1"/>
  <c r="B62" i="1"/>
  <c r="B4" i="1"/>
  <c r="B20" i="1"/>
  <c r="B33" i="1"/>
  <c r="B30" i="1"/>
  <c r="B61" i="1"/>
  <c r="C15" i="38" l="1"/>
  <c r="D14" i="38"/>
  <c r="C15" i="37"/>
  <c r="D14" i="37"/>
  <c r="D13" i="36"/>
  <c r="C14" i="36"/>
  <c r="C14" i="35"/>
  <c r="D13" i="35"/>
  <c r="D13" i="34"/>
  <c r="C14" i="34"/>
  <c r="C14" i="33"/>
  <c r="D13" i="33"/>
  <c r="C14" i="32"/>
  <c r="D13" i="32"/>
  <c r="C14" i="31"/>
  <c r="D13" i="31"/>
  <c r="C16" i="30"/>
  <c r="D15" i="30"/>
  <c r="C14" i="26"/>
  <c r="D13" i="26"/>
  <c r="C14" i="25"/>
  <c r="D13" i="25"/>
  <c r="C14" i="24"/>
  <c r="D13" i="24"/>
  <c r="C14" i="23"/>
  <c r="D13" i="23"/>
  <c r="D13" i="22"/>
  <c r="C14" i="22"/>
  <c r="D13" i="21"/>
  <c r="C14" i="21"/>
  <c r="C14" i="20"/>
  <c r="D13" i="20"/>
  <c r="C16" i="19"/>
  <c r="D15" i="19"/>
  <c r="C14" i="18"/>
  <c r="D13" i="18"/>
  <c r="C14" i="17"/>
  <c r="D13" i="17"/>
  <c r="D13" i="16"/>
  <c r="C14" i="16"/>
  <c r="C14" i="15"/>
  <c r="D13" i="15"/>
  <c r="D13" i="14"/>
  <c r="C14" i="14"/>
  <c r="C14" i="13"/>
  <c r="D13" i="13"/>
  <c r="D13" i="12"/>
  <c r="C14" i="12"/>
  <c r="D13" i="11"/>
  <c r="C14" i="11"/>
  <c r="C15" i="10"/>
  <c r="D14" i="10"/>
  <c r="C6" i="4"/>
  <c r="D5" i="4"/>
  <c r="D15" i="38" l="1"/>
  <c r="C16" i="38"/>
  <c r="D15" i="37"/>
  <c r="C16" i="37"/>
  <c r="C15" i="36"/>
  <c r="D14" i="36"/>
  <c r="D14" i="35"/>
  <c r="C15" i="35"/>
  <c r="C15" i="34"/>
  <c r="D14" i="34"/>
  <c r="C15" i="33"/>
  <c r="D14" i="33"/>
  <c r="C15" i="32"/>
  <c r="D14" i="32"/>
  <c r="D14" i="31"/>
  <c r="C15" i="31"/>
  <c r="D16" i="30"/>
  <c r="C17" i="30"/>
  <c r="C15" i="26"/>
  <c r="D14" i="26"/>
  <c r="C15" i="25"/>
  <c r="D14" i="25"/>
  <c r="C15" i="24"/>
  <c r="D14" i="24"/>
  <c r="C15" i="23"/>
  <c r="D14" i="23"/>
  <c r="C15" i="22"/>
  <c r="D14" i="22"/>
  <c r="C15" i="21"/>
  <c r="D14" i="21"/>
  <c r="C15" i="20"/>
  <c r="D14" i="20"/>
  <c r="D16" i="19"/>
  <c r="C17" i="19"/>
  <c r="C15" i="18"/>
  <c r="D14" i="18"/>
  <c r="D14" i="17"/>
  <c r="C15" i="17"/>
  <c r="C15" i="16"/>
  <c r="D14" i="16"/>
  <c r="C15" i="15"/>
  <c r="D14" i="15"/>
  <c r="C15" i="14"/>
  <c r="D14" i="14"/>
  <c r="C15" i="13"/>
  <c r="D14" i="13"/>
  <c r="C15" i="12"/>
  <c r="D14" i="12"/>
  <c r="D14" i="11"/>
  <c r="C15" i="11"/>
  <c r="C16" i="10"/>
  <c r="D15" i="10"/>
  <c r="C7" i="4"/>
  <c r="D6" i="4"/>
  <c r="C17" i="38" l="1"/>
  <c r="D16" i="38"/>
  <c r="D16" i="37"/>
  <c r="C17" i="37"/>
  <c r="C16" i="36"/>
  <c r="D15" i="36"/>
  <c r="C16" i="35"/>
  <c r="D15" i="35"/>
  <c r="C16" i="34"/>
  <c r="D15" i="34"/>
  <c r="C16" i="33"/>
  <c r="D15" i="33"/>
  <c r="C16" i="32"/>
  <c r="D15" i="32"/>
  <c r="C16" i="31"/>
  <c r="D15" i="31"/>
  <c r="D17" i="30"/>
  <c r="C18" i="30"/>
  <c r="D15" i="26"/>
  <c r="C16" i="26"/>
  <c r="C16" i="25"/>
  <c r="D15" i="25"/>
  <c r="C16" i="24"/>
  <c r="D15" i="24"/>
  <c r="C16" i="23"/>
  <c r="D15" i="23"/>
  <c r="C16" i="22"/>
  <c r="D15" i="22"/>
  <c r="C16" i="21"/>
  <c r="D15" i="21"/>
  <c r="C16" i="20"/>
  <c r="D15" i="20"/>
  <c r="C18" i="19"/>
  <c r="D17" i="19"/>
  <c r="C16" i="18"/>
  <c r="D15" i="18"/>
  <c r="C16" i="17"/>
  <c r="D15" i="17"/>
  <c r="C16" i="16"/>
  <c r="D15" i="16"/>
  <c r="C16" i="15"/>
  <c r="D15" i="15"/>
  <c r="C16" i="14"/>
  <c r="D15" i="14"/>
  <c r="C16" i="13"/>
  <c r="D15" i="13"/>
  <c r="C16" i="12"/>
  <c r="D15" i="12"/>
  <c r="D15" i="11"/>
  <c r="C16" i="11"/>
  <c r="C17" i="10"/>
  <c r="D16" i="10"/>
  <c r="C8" i="4"/>
  <c r="D7" i="4"/>
  <c r="C18" i="38" l="1"/>
  <c r="D17" i="38"/>
  <c r="C18" i="37"/>
  <c r="D17" i="37"/>
  <c r="D16" i="36"/>
  <c r="C17" i="36"/>
  <c r="D16" i="35"/>
  <c r="C17" i="35"/>
  <c r="D16" i="34"/>
  <c r="C17" i="34"/>
  <c r="D16" i="33"/>
  <c r="C17" i="33"/>
  <c r="D16" i="32"/>
  <c r="C17" i="32"/>
  <c r="D16" i="31"/>
  <c r="C17" i="31"/>
  <c r="C19" i="30"/>
  <c r="D18" i="30"/>
  <c r="D16" i="26"/>
  <c r="C17" i="26"/>
  <c r="C17" i="25"/>
  <c r="D16" i="25"/>
  <c r="C17" i="24"/>
  <c r="D16" i="24"/>
  <c r="D16" i="23"/>
  <c r="C17" i="23"/>
  <c r="C17" i="22"/>
  <c r="D16" i="22"/>
  <c r="C17" i="21"/>
  <c r="D16" i="21"/>
  <c r="D16" i="20"/>
  <c r="C17" i="20"/>
  <c r="C19" i="19"/>
  <c r="D18" i="19"/>
  <c r="D16" i="18"/>
  <c r="C17" i="18"/>
  <c r="D16" i="17"/>
  <c r="C17" i="17"/>
  <c r="D16" i="16"/>
  <c r="C17" i="16"/>
  <c r="D16" i="15"/>
  <c r="C17" i="15"/>
  <c r="D16" i="14"/>
  <c r="C17" i="14"/>
  <c r="D16" i="13"/>
  <c r="C17" i="13"/>
  <c r="D16" i="12"/>
  <c r="C17" i="12"/>
  <c r="C17" i="11"/>
  <c r="D16" i="11"/>
  <c r="C18" i="10"/>
  <c r="D17" i="10"/>
  <c r="D8" i="4"/>
  <c r="C9" i="4"/>
  <c r="C19" i="38" l="1"/>
  <c r="D18" i="38"/>
  <c r="C19" i="37"/>
  <c r="D18" i="37"/>
  <c r="D17" i="36"/>
  <c r="C18" i="36"/>
  <c r="C18" i="35"/>
  <c r="D17" i="35"/>
  <c r="D17" i="34"/>
  <c r="C18" i="34"/>
  <c r="C18" i="33"/>
  <c r="D17" i="33"/>
  <c r="C18" i="32"/>
  <c r="D17" i="32"/>
  <c r="D17" i="31"/>
  <c r="C18" i="31"/>
  <c r="C20" i="30"/>
  <c r="D19" i="30"/>
  <c r="C18" i="26"/>
  <c r="D17" i="26"/>
  <c r="C18" i="25"/>
  <c r="D17" i="25"/>
  <c r="C18" i="24"/>
  <c r="D17" i="24"/>
  <c r="C18" i="23"/>
  <c r="D17" i="23"/>
  <c r="D17" i="22"/>
  <c r="C18" i="22"/>
  <c r="D17" i="21"/>
  <c r="C18" i="21"/>
  <c r="C18" i="20"/>
  <c r="D17" i="20"/>
  <c r="C20" i="19"/>
  <c r="D19" i="19"/>
  <c r="C18" i="18"/>
  <c r="D17" i="18"/>
  <c r="C18" i="17"/>
  <c r="D17" i="17"/>
  <c r="D17" i="16"/>
  <c r="C18" i="16"/>
  <c r="C18" i="15"/>
  <c r="D17" i="15"/>
  <c r="D17" i="14"/>
  <c r="C18" i="14"/>
  <c r="D17" i="13"/>
  <c r="C18" i="13"/>
  <c r="D17" i="12"/>
  <c r="C18" i="12"/>
  <c r="D17" i="11"/>
  <c r="C18" i="11"/>
  <c r="C19" i="10"/>
  <c r="D18" i="10"/>
  <c r="C10" i="4"/>
  <c r="D9" i="4"/>
  <c r="C20" i="38" l="1"/>
  <c r="D19" i="38"/>
  <c r="C20" i="37"/>
  <c r="D19" i="37"/>
  <c r="C19" i="36"/>
  <c r="D18" i="36"/>
  <c r="D18" i="35"/>
  <c r="C19" i="35"/>
  <c r="D18" i="34"/>
  <c r="C19" i="34"/>
  <c r="C19" i="33"/>
  <c r="D18" i="33"/>
  <c r="C19" i="32"/>
  <c r="D18" i="32"/>
  <c r="D18" i="31"/>
  <c r="C19" i="31"/>
  <c r="D20" i="30"/>
  <c r="C21" i="30"/>
  <c r="C19" i="26"/>
  <c r="D18" i="26"/>
  <c r="C19" i="25"/>
  <c r="D18" i="25"/>
  <c r="C19" i="24"/>
  <c r="D18" i="24"/>
  <c r="C19" i="23"/>
  <c r="D18" i="23"/>
  <c r="C19" i="22"/>
  <c r="D18" i="22"/>
  <c r="C19" i="21"/>
  <c r="D18" i="21"/>
  <c r="C19" i="20"/>
  <c r="D18" i="20"/>
  <c r="D20" i="19"/>
  <c r="C21" i="19"/>
  <c r="C19" i="18"/>
  <c r="D18" i="18"/>
  <c r="C19" i="17"/>
  <c r="D18" i="17"/>
  <c r="C19" i="16"/>
  <c r="D18" i="16"/>
  <c r="C19" i="15"/>
  <c r="D18" i="15"/>
  <c r="C19" i="14"/>
  <c r="D18" i="14"/>
  <c r="C19" i="13"/>
  <c r="D18" i="13"/>
  <c r="C19" i="12"/>
  <c r="D18" i="12"/>
  <c r="C19" i="11"/>
  <c r="D18" i="11"/>
  <c r="C20" i="10"/>
  <c r="D19" i="10"/>
  <c r="C11" i="4"/>
  <c r="D10" i="4"/>
  <c r="C21" i="38" l="1"/>
  <c r="D20" i="38"/>
  <c r="D20" i="37"/>
  <c r="C21" i="37"/>
  <c r="C20" i="36"/>
  <c r="D19" i="36"/>
  <c r="C20" i="35"/>
  <c r="D19" i="35"/>
  <c r="C20" i="34"/>
  <c r="D19" i="34"/>
  <c r="C20" i="33"/>
  <c r="D19" i="33"/>
  <c r="C20" i="32"/>
  <c r="D19" i="32"/>
  <c r="C20" i="31"/>
  <c r="D19" i="31"/>
  <c r="D21" i="30"/>
  <c r="C22" i="30"/>
  <c r="D19" i="26"/>
  <c r="C20" i="26"/>
  <c r="C20" i="25"/>
  <c r="D19" i="25"/>
  <c r="C20" i="24"/>
  <c r="D19" i="24"/>
  <c r="C20" i="23"/>
  <c r="D19" i="23"/>
  <c r="C20" i="22"/>
  <c r="D19" i="22"/>
  <c r="C20" i="21"/>
  <c r="D19" i="21"/>
  <c r="C20" i="20"/>
  <c r="D19" i="20"/>
  <c r="C22" i="19"/>
  <c r="D21" i="19"/>
  <c r="C20" i="18"/>
  <c r="D19" i="18"/>
  <c r="C20" i="17"/>
  <c r="D19" i="17"/>
  <c r="C20" i="16"/>
  <c r="D19" i="16"/>
  <c r="C20" i="15"/>
  <c r="D19" i="15"/>
  <c r="C20" i="14"/>
  <c r="D19" i="14"/>
  <c r="C20" i="13"/>
  <c r="D19" i="13"/>
  <c r="C20" i="12"/>
  <c r="D19" i="12"/>
  <c r="D19" i="11"/>
  <c r="C20" i="11"/>
  <c r="C21" i="10"/>
  <c r="D20" i="10"/>
  <c r="C12" i="4"/>
  <c r="D11" i="4"/>
  <c r="C22" i="38" l="1"/>
  <c r="D21" i="38"/>
  <c r="C22" i="37"/>
  <c r="D21" i="37"/>
  <c r="D20" i="36"/>
  <c r="C21" i="36"/>
  <c r="D20" i="35"/>
  <c r="C21" i="35"/>
  <c r="D20" i="34"/>
  <c r="C21" i="34"/>
  <c r="D20" i="33"/>
  <c r="C21" i="33"/>
  <c r="D20" i="32"/>
  <c r="C21" i="32"/>
  <c r="D20" i="31"/>
  <c r="C21" i="31"/>
  <c r="C23" i="30"/>
  <c r="D22" i="30"/>
  <c r="D20" i="26"/>
  <c r="C21" i="26"/>
  <c r="D20" i="25"/>
  <c r="C21" i="25"/>
  <c r="D20" i="24"/>
  <c r="C21" i="24"/>
  <c r="D20" i="23"/>
  <c r="C21" i="23"/>
  <c r="C21" i="22"/>
  <c r="D20" i="22"/>
  <c r="C21" i="21"/>
  <c r="D20" i="21"/>
  <c r="D20" i="20"/>
  <c r="C21" i="20"/>
  <c r="C23" i="19"/>
  <c r="D22" i="19"/>
  <c r="D20" i="18"/>
  <c r="C21" i="18"/>
  <c r="D20" i="17"/>
  <c r="C21" i="17"/>
  <c r="D20" i="16"/>
  <c r="C21" i="16"/>
  <c r="D20" i="15"/>
  <c r="C21" i="15"/>
  <c r="D20" i="14"/>
  <c r="C21" i="14"/>
  <c r="D20" i="13"/>
  <c r="C21" i="13"/>
  <c r="D20" i="12"/>
  <c r="C21" i="12"/>
  <c r="C21" i="11"/>
  <c r="D20" i="11"/>
  <c r="C22" i="10"/>
  <c r="D21" i="10"/>
  <c r="D12" i="4"/>
  <c r="C13" i="4"/>
  <c r="C23" i="38" l="1"/>
  <c r="D22" i="38"/>
  <c r="C23" i="37"/>
  <c r="D22" i="37"/>
  <c r="D21" i="36"/>
  <c r="C22" i="36"/>
  <c r="C22" i="35"/>
  <c r="D21" i="35"/>
  <c r="C22" i="34"/>
  <c r="D21" i="34"/>
  <c r="C22" i="33"/>
  <c r="D21" i="33"/>
  <c r="D21" i="32"/>
  <c r="C22" i="32"/>
  <c r="C22" i="31"/>
  <c r="D21" i="31"/>
  <c r="C24" i="30"/>
  <c r="D23" i="30"/>
  <c r="C22" i="26"/>
  <c r="D21" i="26"/>
  <c r="C22" i="25"/>
  <c r="D21" i="25"/>
  <c r="C22" i="24"/>
  <c r="D21" i="24"/>
  <c r="C22" i="23"/>
  <c r="D21" i="23"/>
  <c r="D21" i="22"/>
  <c r="C22" i="22"/>
  <c r="D21" i="21"/>
  <c r="C22" i="21"/>
  <c r="C22" i="20"/>
  <c r="D21" i="20"/>
  <c r="C24" i="19"/>
  <c r="D23" i="19"/>
  <c r="C22" i="18"/>
  <c r="D21" i="18"/>
  <c r="C22" i="17"/>
  <c r="D21" i="17"/>
  <c r="C22" i="16"/>
  <c r="D21" i="16"/>
  <c r="C22" i="15"/>
  <c r="D21" i="15"/>
  <c r="D21" i="14"/>
  <c r="C22" i="14"/>
  <c r="D21" i="13"/>
  <c r="C22" i="13"/>
  <c r="C22" i="12"/>
  <c r="D21" i="12"/>
  <c r="D21" i="11"/>
  <c r="C22" i="11"/>
  <c r="C23" i="10"/>
  <c r="D22" i="10"/>
  <c r="C14" i="4"/>
  <c r="D13" i="4"/>
  <c r="D23" i="38" l="1"/>
  <c r="C24" i="38"/>
  <c r="C24" i="37"/>
  <c r="D23" i="37"/>
  <c r="C23" i="36"/>
  <c r="D22" i="36"/>
  <c r="D22" i="35"/>
  <c r="C23" i="35"/>
  <c r="D22" i="34"/>
  <c r="C23" i="34"/>
  <c r="C23" i="33"/>
  <c r="D22" i="33"/>
  <c r="C23" i="32"/>
  <c r="D22" i="32"/>
  <c r="D22" i="31"/>
  <c r="C23" i="31"/>
  <c r="D24" i="30"/>
  <c r="C25" i="30"/>
  <c r="C23" i="26"/>
  <c r="D22" i="26"/>
  <c r="C23" i="25"/>
  <c r="D22" i="25"/>
  <c r="C23" i="24"/>
  <c r="D22" i="24"/>
  <c r="C23" i="23"/>
  <c r="D22" i="23"/>
  <c r="C23" i="22"/>
  <c r="D22" i="22"/>
  <c r="C23" i="21"/>
  <c r="D22" i="21"/>
  <c r="C23" i="20"/>
  <c r="D22" i="20"/>
  <c r="D24" i="19"/>
  <c r="C25" i="19"/>
  <c r="C23" i="18"/>
  <c r="D22" i="18"/>
  <c r="D22" i="17"/>
  <c r="C23" i="17"/>
  <c r="C23" i="16"/>
  <c r="D22" i="16"/>
  <c r="C23" i="15"/>
  <c r="D22" i="15"/>
  <c r="C23" i="14"/>
  <c r="D22" i="14"/>
  <c r="C23" i="13"/>
  <c r="D22" i="13"/>
  <c r="C23" i="12"/>
  <c r="D22" i="12"/>
  <c r="C23" i="11"/>
  <c r="D22" i="11"/>
  <c r="C24" i="10"/>
  <c r="D23" i="10"/>
  <c r="C15" i="4"/>
  <c r="D14" i="4"/>
  <c r="C25" i="38" l="1"/>
  <c r="D24" i="38"/>
  <c r="D24" i="37"/>
  <c r="C25" i="37"/>
  <c r="C24" i="36"/>
  <c r="D23" i="36"/>
  <c r="C24" i="35"/>
  <c r="D23" i="35"/>
  <c r="C24" i="34"/>
  <c r="D23" i="34"/>
  <c r="C24" i="33"/>
  <c r="D23" i="33"/>
  <c r="C24" i="32"/>
  <c r="D23" i="32"/>
  <c r="C24" i="31"/>
  <c r="D23" i="31"/>
  <c r="D25" i="30"/>
  <c r="C26" i="30"/>
  <c r="D23" i="26"/>
  <c r="C24" i="26"/>
  <c r="C24" i="25"/>
  <c r="D23" i="25"/>
  <c r="C24" i="24"/>
  <c r="D23" i="24"/>
  <c r="C24" i="23"/>
  <c r="D23" i="23"/>
  <c r="C24" i="22"/>
  <c r="D23" i="22"/>
  <c r="C24" i="21"/>
  <c r="D23" i="21"/>
  <c r="C24" i="20"/>
  <c r="D23" i="20"/>
  <c r="C26" i="19"/>
  <c r="D25" i="19"/>
  <c r="C24" i="18"/>
  <c r="D23" i="18"/>
  <c r="C24" i="17"/>
  <c r="D23" i="17"/>
  <c r="C24" i="16"/>
  <c r="D23" i="16"/>
  <c r="C24" i="15"/>
  <c r="D23" i="15"/>
  <c r="C24" i="14"/>
  <c r="D23" i="14"/>
  <c r="C24" i="13"/>
  <c r="D23" i="13"/>
  <c r="C24" i="12"/>
  <c r="D23" i="12"/>
  <c r="D23" i="11"/>
  <c r="C24" i="11"/>
  <c r="D24" i="10"/>
  <c r="C25" i="10"/>
  <c r="C16" i="4"/>
  <c r="D15" i="4"/>
  <c r="C26" i="38" l="1"/>
  <c r="D25" i="38"/>
  <c r="C26" i="37"/>
  <c r="D25" i="37"/>
  <c r="D24" i="36"/>
  <c r="C25" i="36"/>
  <c r="D24" i="35"/>
  <c r="C25" i="35"/>
  <c r="D24" i="34"/>
  <c r="C25" i="34"/>
  <c r="D24" i="33"/>
  <c r="C25" i="33"/>
  <c r="D24" i="32"/>
  <c r="C25" i="32"/>
  <c r="D24" i="31"/>
  <c r="C25" i="31"/>
  <c r="C27" i="30"/>
  <c r="D26" i="30"/>
  <c r="D24" i="26"/>
  <c r="C25" i="26"/>
  <c r="D24" i="25"/>
  <c r="C25" i="25"/>
  <c r="D24" i="24"/>
  <c r="C25" i="24"/>
  <c r="D24" i="23"/>
  <c r="C25" i="23"/>
  <c r="C25" i="22"/>
  <c r="D24" i="22"/>
  <c r="C25" i="21"/>
  <c r="D24" i="21"/>
  <c r="D24" i="20"/>
  <c r="C25" i="20"/>
  <c r="C27" i="19"/>
  <c r="D26" i="19"/>
  <c r="D24" i="18"/>
  <c r="C25" i="18"/>
  <c r="D24" i="17"/>
  <c r="C25" i="17"/>
  <c r="D24" i="16"/>
  <c r="C25" i="16"/>
  <c r="D24" i="15"/>
  <c r="C25" i="15"/>
  <c r="D24" i="14"/>
  <c r="C25" i="14"/>
  <c r="D24" i="13"/>
  <c r="C25" i="13"/>
  <c r="D24" i="12"/>
  <c r="C25" i="12"/>
  <c r="C25" i="11"/>
  <c r="D24" i="11"/>
  <c r="C26" i="10"/>
  <c r="D25" i="10"/>
  <c r="D16" i="4"/>
  <c r="C17" i="4"/>
  <c r="C27" i="38" l="1"/>
  <c r="D26" i="38"/>
  <c r="C27" i="37"/>
  <c r="D26" i="37"/>
  <c r="C26" i="36"/>
  <c r="D25" i="36"/>
  <c r="C26" i="35"/>
  <c r="D25" i="35"/>
  <c r="C26" i="34"/>
  <c r="D25" i="34"/>
  <c r="C26" i="33"/>
  <c r="D25" i="33"/>
  <c r="C26" i="32"/>
  <c r="D25" i="32"/>
  <c r="D25" i="31"/>
  <c r="C26" i="31"/>
  <c r="C28" i="30"/>
  <c r="D27" i="30"/>
  <c r="C26" i="26"/>
  <c r="D25" i="26"/>
  <c r="C26" i="25"/>
  <c r="D25" i="25"/>
  <c r="C26" i="24"/>
  <c r="D25" i="24"/>
  <c r="C26" i="23"/>
  <c r="D25" i="23"/>
  <c r="D25" i="22"/>
  <c r="C26" i="22"/>
  <c r="D25" i="21"/>
  <c r="C26" i="21"/>
  <c r="C26" i="20"/>
  <c r="D25" i="20"/>
  <c r="C28" i="19"/>
  <c r="D27" i="19"/>
  <c r="C26" i="18"/>
  <c r="D25" i="18"/>
  <c r="D25" i="17"/>
  <c r="C26" i="17"/>
  <c r="D25" i="16"/>
  <c r="C26" i="16"/>
  <c r="C26" i="15"/>
  <c r="D25" i="15"/>
  <c r="D25" i="14"/>
  <c r="C26" i="14"/>
  <c r="D25" i="13"/>
  <c r="C26" i="13"/>
  <c r="D25" i="12"/>
  <c r="C26" i="12"/>
  <c r="D25" i="11"/>
  <c r="C26" i="11"/>
  <c r="C27" i="10"/>
  <c r="D26" i="10"/>
  <c r="C18" i="4"/>
  <c r="D17" i="4"/>
  <c r="C28" i="38" l="1"/>
  <c r="D27" i="38"/>
  <c r="D27" i="37"/>
  <c r="C28" i="37"/>
  <c r="C27" i="36"/>
  <c r="D26" i="36"/>
  <c r="D26" i="35"/>
  <c r="C27" i="35"/>
  <c r="C27" i="34"/>
  <c r="D26" i="34"/>
  <c r="C27" i="33"/>
  <c r="D26" i="33"/>
  <c r="C27" i="32"/>
  <c r="D26" i="32"/>
  <c r="D26" i="31"/>
  <c r="C27" i="31"/>
  <c r="D28" i="30"/>
  <c r="C29" i="30"/>
  <c r="C27" i="26"/>
  <c r="D26" i="26"/>
  <c r="C27" i="25"/>
  <c r="D26" i="25"/>
  <c r="C27" i="24"/>
  <c r="D26" i="24"/>
  <c r="C27" i="23"/>
  <c r="D26" i="23"/>
  <c r="C27" i="22"/>
  <c r="D26" i="22"/>
  <c r="C27" i="21"/>
  <c r="D26" i="21"/>
  <c r="C27" i="20"/>
  <c r="D26" i="20"/>
  <c r="D28" i="19"/>
  <c r="C29" i="19"/>
  <c r="C27" i="18"/>
  <c r="D26" i="18"/>
  <c r="D26" i="17"/>
  <c r="C27" i="17"/>
  <c r="C27" i="16"/>
  <c r="D26" i="16"/>
  <c r="C27" i="15"/>
  <c r="D26" i="15"/>
  <c r="C27" i="14"/>
  <c r="D26" i="14"/>
  <c r="C27" i="13"/>
  <c r="D26" i="13"/>
  <c r="C27" i="12"/>
  <c r="D26" i="12"/>
  <c r="C27" i="11"/>
  <c r="D26" i="11"/>
  <c r="C28" i="10"/>
  <c r="D27" i="10"/>
  <c r="C19" i="4"/>
  <c r="D18" i="4"/>
  <c r="D28" i="38" l="1"/>
  <c r="C29" i="38"/>
  <c r="D28" i="37"/>
  <c r="C29" i="37"/>
  <c r="C28" i="36"/>
  <c r="D27" i="36"/>
  <c r="C28" i="35"/>
  <c r="D27" i="35"/>
  <c r="C28" i="34"/>
  <c r="D27" i="34"/>
  <c r="C28" i="33"/>
  <c r="D27" i="33"/>
  <c r="C28" i="32"/>
  <c r="D27" i="32"/>
  <c r="C28" i="31"/>
  <c r="D27" i="31"/>
  <c r="C30" i="30"/>
  <c r="D29" i="30"/>
  <c r="C28" i="26"/>
  <c r="D27" i="26"/>
  <c r="C28" i="25"/>
  <c r="D27" i="25"/>
  <c r="C28" i="24"/>
  <c r="D27" i="24"/>
  <c r="C28" i="23"/>
  <c r="D27" i="23"/>
  <c r="C28" i="22"/>
  <c r="D27" i="22"/>
  <c r="C28" i="21"/>
  <c r="D27" i="21"/>
  <c r="C28" i="20"/>
  <c r="D27" i="20"/>
  <c r="C30" i="19"/>
  <c r="D29" i="19"/>
  <c r="C28" i="18"/>
  <c r="D27" i="18"/>
  <c r="C28" i="17"/>
  <c r="D27" i="17"/>
  <c r="C28" i="16"/>
  <c r="D27" i="16"/>
  <c r="C28" i="15"/>
  <c r="D27" i="15"/>
  <c r="C28" i="14"/>
  <c r="D27" i="14"/>
  <c r="C28" i="13"/>
  <c r="D27" i="13"/>
  <c r="C28" i="12"/>
  <c r="D27" i="12"/>
  <c r="D27" i="11"/>
  <c r="C28" i="11"/>
  <c r="D28" i="10"/>
  <c r="C29" i="10"/>
  <c r="C20" i="4"/>
  <c r="D19" i="4"/>
  <c r="C30" i="38" l="1"/>
  <c r="D29" i="38"/>
  <c r="C30" i="37"/>
  <c r="D29" i="37"/>
  <c r="D28" i="36"/>
  <c r="C29" i="36"/>
  <c r="D28" i="35"/>
  <c r="C29" i="35"/>
  <c r="D28" i="34"/>
  <c r="C29" i="34"/>
  <c r="D28" i="33"/>
  <c r="C29" i="33"/>
  <c r="D28" i="32"/>
  <c r="C29" i="32"/>
  <c r="D28" i="31"/>
  <c r="C29" i="31"/>
  <c r="C31" i="30"/>
  <c r="D30" i="30"/>
  <c r="D28" i="26"/>
  <c r="C29" i="26"/>
  <c r="C29" i="25"/>
  <c r="D28" i="25"/>
  <c r="D28" i="24"/>
  <c r="C29" i="24"/>
  <c r="D28" i="23"/>
  <c r="C29" i="23"/>
  <c r="C29" i="22"/>
  <c r="D28" i="22"/>
  <c r="C29" i="21"/>
  <c r="D28" i="21"/>
  <c r="D28" i="20"/>
  <c r="C29" i="20"/>
  <c r="C31" i="19"/>
  <c r="D30" i="19"/>
  <c r="D28" i="18"/>
  <c r="C29" i="18"/>
  <c r="D28" i="17"/>
  <c r="C29" i="17"/>
  <c r="D28" i="16"/>
  <c r="C29" i="16"/>
  <c r="D28" i="15"/>
  <c r="C29" i="15"/>
  <c r="D28" i="14"/>
  <c r="C29" i="14"/>
  <c r="D28" i="13"/>
  <c r="C29" i="13"/>
  <c r="D28" i="12"/>
  <c r="C29" i="12"/>
  <c r="C29" i="11"/>
  <c r="D28" i="11"/>
  <c r="C30" i="10"/>
  <c r="D29" i="10"/>
  <c r="D20" i="4"/>
  <c r="C21" i="4"/>
  <c r="C31" i="38" l="1"/>
  <c r="D30" i="38"/>
  <c r="C31" i="37"/>
  <c r="D30" i="37"/>
  <c r="D29" i="36"/>
  <c r="C30" i="36"/>
  <c r="C30" i="35"/>
  <c r="D29" i="35"/>
  <c r="C30" i="34"/>
  <c r="D29" i="34"/>
  <c r="C30" i="33"/>
  <c r="D29" i="33"/>
  <c r="D29" i="32"/>
  <c r="C30" i="32"/>
  <c r="C30" i="31"/>
  <c r="D29" i="31"/>
  <c r="C32" i="30"/>
  <c r="D32" i="30" s="1"/>
  <c r="D31" i="30"/>
  <c r="C30" i="26"/>
  <c r="D29" i="26"/>
  <c r="C30" i="25"/>
  <c r="D29" i="25"/>
  <c r="C30" i="24"/>
  <c r="D29" i="24"/>
  <c r="C30" i="23"/>
  <c r="D29" i="23"/>
  <c r="C30" i="22"/>
  <c r="D29" i="22"/>
  <c r="C30" i="21"/>
  <c r="D29" i="21"/>
  <c r="C30" i="20"/>
  <c r="D29" i="20"/>
  <c r="C32" i="19"/>
  <c r="D32" i="19" s="1"/>
  <c r="D31" i="19"/>
  <c r="C30" i="18"/>
  <c r="D29" i="18"/>
  <c r="D29" i="17"/>
  <c r="C30" i="17"/>
  <c r="D29" i="16"/>
  <c r="C30" i="16"/>
  <c r="D29" i="15"/>
  <c r="C30" i="15"/>
  <c r="C30" i="14"/>
  <c r="D29" i="14"/>
  <c r="C30" i="13"/>
  <c r="D29" i="13"/>
  <c r="D29" i="12"/>
  <c r="C30" i="12"/>
  <c r="C30" i="11"/>
  <c r="D29" i="11"/>
  <c r="C31" i="10"/>
  <c r="D30" i="10"/>
  <c r="C22" i="4"/>
  <c r="D21" i="4"/>
  <c r="C32" i="38" l="1"/>
  <c r="D32" i="38" s="1"/>
  <c r="D31" i="38"/>
  <c r="C32" i="37"/>
  <c r="D32" i="37" s="1"/>
  <c r="D31" i="37"/>
  <c r="C31" i="36"/>
  <c r="D30" i="36"/>
  <c r="C31" i="35"/>
  <c r="D30" i="35"/>
  <c r="C31" i="34"/>
  <c r="D30" i="34"/>
  <c r="C31" i="33"/>
  <c r="D30" i="33"/>
  <c r="C31" i="32"/>
  <c r="D30" i="32"/>
  <c r="C31" i="31"/>
  <c r="D30" i="31"/>
  <c r="C31" i="26"/>
  <c r="D30" i="26"/>
  <c r="C31" i="25"/>
  <c r="D30" i="25"/>
  <c r="C31" i="24"/>
  <c r="D30" i="24"/>
  <c r="C31" i="23"/>
  <c r="D30" i="23"/>
  <c r="C31" i="22"/>
  <c r="D30" i="22"/>
  <c r="C31" i="21"/>
  <c r="D30" i="21"/>
  <c r="C31" i="20"/>
  <c r="D30" i="20"/>
  <c r="C31" i="18"/>
  <c r="D30" i="18"/>
  <c r="C31" i="17"/>
  <c r="D30" i="17"/>
  <c r="C31" i="16"/>
  <c r="D30" i="16"/>
  <c r="C31" i="15"/>
  <c r="D30" i="15"/>
  <c r="C31" i="14"/>
  <c r="D30" i="14"/>
  <c r="C31" i="13"/>
  <c r="D30" i="13"/>
  <c r="C31" i="12"/>
  <c r="D30" i="12"/>
  <c r="D30" i="11"/>
  <c r="C31" i="11"/>
  <c r="C32" i="10"/>
  <c r="D32" i="10" s="1"/>
  <c r="D31" i="10"/>
  <c r="C23" i="4"/>
  <c r="D22" i="4"/>
  <c r="C32" i="36" l="1"/>
  <c r="D32" i="36" s="1"/>
  <c r="D31" i="36"/>
  <c r="C32" i="35"/>
  <c r="D32" i="35" s="1"/>
  <c r="D31" i="35"/>
  <c r="C32" i="34"/>
  <c r="D32" i="34" s="1"/>
  <c r="D31" i="34"/>
  <c r="C32" i="33"/>
  <c r="D32" i="33" s="1"/>
  <c r="D31" i="33"/>
  <c r="C32" i="32"/>
  <c r="D32" i="32" s="1"/>
  <c r="D31" i="32"/>
  <c r="C32" i="31"/>
  <c r="D32" i="31" s="1"/>
  <c r="D31" i="31"/>
  <c r="D31" i="26"/>
  <c r="C32" i="26"/>
  <c r="D32" i="26" s="1"/>
  <c r="C32" i="25"/>
  <c r="D32" i="25" s="1"/>
  <c r="D31" i="25"/>
  <c r="C32" i="24"/>
  <c r="D32" i="24" s="1"/>
  <c r="D31" i="24"/>
  <c r="C32" i="23"/>
  <c r="D32" i="23" s="1"/>
  <c r="D31" i="23"/>
  <c r="C32" i="22"/>
  <c r="D32" i="22" s="1"/>
  <c r="D31" i="22"/>
  <c r="C32" i="21"/>
  <c r="D32" i="21" s="1"/>
  <c r="D31" i="21"/>
  <c r="C32" i="20"/>
  <c r="D32" i="20" s="1"/>
  <c r="D31" i="20"/>
  <c r="C32" i="18"/>
  <c r="D32" i="18" s="1"/>
  <c r="D31" i="18"/>
  <c r="C32" i="17"/>
  <c r="D32" i="17" s="1"/>
  <c r="D31" i="17"/>
  <c r="C32" i="16"/>
  <c r="D32" i="16" s="1"/>
  <c r="D31" i="16"/>
  <c r="C32" i="15"/>
  <c r="D32" i="15" s="1"/>
  <c r="D31" i="15"/>
  <c r="C32" i="14"/>
  <c r="D32" i="14" s="1"/>
  <c r="D31" i="14"/>
  <c r="C32" i="13"/>
  <c r="D32" i="13" s="1"/>
  <c r="D31" i="13"/>
  <c r="C32" i="12"/>
  <c r="D32" i="12" s="1"/>
  <c r="D31" i="12"/>
  <c r="D31" i="11"/>
  <c r="C32" i="11"/>
  <c r="D32" i="11" s="1"/>
  <c r="C24" i="4"/>
  <c r="D23" i="4"/>
  <c r="D24" i="4" l="1"/>
  <c r="C25" i="4"/>
  <c r="C26" i="4" l="1"/>
  <c r="D25" i="4"/>
  <c r="C27" i="4" l="1"/>
  <c r="D26" i="4"/>
  <c r="C28" i="4" l="1"/>
  <c r="D27" i="4"/>
  <c r="D28" i="4" l="1"/>
  <c r="C29" i="4"/>
  <c r="C30" i="4" l="1"/>
  <c r="D29" i="4"/>
  <c r="C31" i="4" l="1"/>
  <c r="D30" i="4"/>
  <c r="C32" i="4" l="1"/>
  <c r="D32" i="4" s="1"/>
  <c r="D31" i="4"/>
</calcChain>
</file>

<file path=xl/sharedStrings.xml><?xml version="1.0" encoding="utf-8"?>
<sst xmlns="http://schemas.openxmlformats.org/spreadsheetml/2006/main" count="2868" uniqueCount="567">
  <si>
    <t>cargo_icon_x</t>
  </si>
  <si>
    <t>cargo_icon_y</t>
  </si>
  <si>
    <t>cargo_item_name</t>
  </si>
  <si>
    <t>cargo_ID</t>
  </si>
  <si>
    <t>cargo_colour_number</t>
  </si>
  <si>
    <t>town_growth_effect</t>
  </si>
  <si>
    <t>town_growth_multiplier</t>
  </si>
  <si>
    <t>is_freight</t>
  </si>
  <si>
    <t>cargo_label</t>
  </si>
  <si>
    <t>capacity_multiplier</t>
  </si>
  <si>
    <t>cargo_classes</t>
  </si>
  <si>
    <t>cargo_weight</t>
  </si>
  <si>
    <t>penalty_lower_bound</t>
  </si>
  <si>
    <t>single_penalty_length</t>
  </si>
  <si>
    <t>price_factor</t>
  </si>
  <si>
    <t>Commuters</t>
  </si>
  <si>
    <t>commuters</t>
  </si>
  <si>
    <t>TOWNGROWTH_PASSENGERS</t>
  </si>
  <si>
    <t>1.0</t>
  </si>
  <si>
    <t>COMM</t>
  </si>
  <si>
    <t>CC_PASSENGERS</t>
  </si>
  <si>
    <t>Passengers</t>
  </si>
  <si>
    <t>passengers</t>
  </si>
  <si>
    <t>PASS</t>
  </si>
  <si>
    <t>Tourists</t>
  </si>
  <si>
    <t>tourists</t>
  </si>
  <si>
    <t>mail</t>
  </si>
  <si>
    <t>CC_MAIL</t>
  </si>
  <si>
    <t>TOWNGROWTH_MAIL</t>
  </si>
  <si>
    <t>MAIL</t>
  </si>
  <si>
    <t>TOUR</t>
  </si>
  <si>
    <t>parcels</t>
  </si>
  <si>
    <t>PCL_</t>
  </si>
  <si>
    <t>waste</t>
  </si>
  <si>
    <t>WSTE</t>
  </si>
  <si>
    <t>TOWNGROWTH_NONE</t>
  </si>
  <si>
    <t>CC_NON_POTABLE, CC_OPEN_BULK</t>
  </si>
  <si>
    <t>recyclables</t>
  </si>
  <si>
    <t>RCYC</t>
  </si>
  <si>
    <t>organic_waste</t>
  </si>
  <si>
    <t>OWAS</t>
  </si>
  <si>
    <t>plant_fibres</t>
  </si>
  <si>
    <t>FICR</t>
  </si>
  <si>
    <t>0.2</t>
  </si>
  <si>
    <t>wool</t>
  </si>
  <si>
    <t>WOOL</t>
  </si>
  <si>
    <t>grain</t>
  </si>
  <si>
    <t>GRAI</t>
  </si>
  <si>
    <t>fruit</t>
  </si>
  <si>
    <t>FRUT</t>
  </si>
  <si>
    <t>milk</t>
  </si>
  <si>
    <t>MILK</t>
  </si>
  <si>
    <t>livestock</t>
  </si>
  <si>
    <t>LVST</t>
  </si>
  <si>
    <t>0.1875</t>
  </si>
  <si>
    <t>CC_NON_POTABLE, CC_WEIRD</t>
  </si>
  <si>
    <t>logs</t>
  </si>
  <si>
    <t>WOOD</t>
  </si>
  <si>
    <t>coal</t>
  </si>
  <si>
    <t>COAL</t>
  </si>
  <si>
    <t>iron_ore</t>
  </si>
  <si>
    <t>IORE</t>
  </si>
  <si>
    <t>bauxite</t>
  </si>
  <si>
    <t>AORE</t>
  </si>
  <si>
    <t>copper_ore</t>
  </si>
  <si>
    <t>CORE</t>
  </si>
  <si>
    <t>crude_oil</t>
  </si>
  <si>
    <t>OIL_</t>
  </si>
  <si>
    <t>aggregates</t>
  </si>
  <si>
    <t>GRVL</t>
  </si>
  <si>
    <t>sand</t>
  </si>
  <si>
    <t>SAND</t>
  </si>
  <si>
    <t>clay</t>
  </si>
  <si>
    <t>CLAY</t>
  </si>
  <si>
    <t>potash</t>
  </si>
  <si>
    <t>POTA</t>
  </si>
  <si>
    <t>uranium</t>
  </si>
  <si>
    <t>URAN</t>
  </si>
  <si>
    <t>NITR</t>
  </si>
  <si>
    <t>seafood</t>
  </si>
  <si>
    <t>FISH</t>
  </si>
  <si>
    <t>cement</t>
  </si>
  <si>
    <t>CMNT</t>
  </si>
  <si>
    <t>petrochemicals</t>
  </si>
  <si>
    <t>RFPR</t>
  </si>
  <si>
    <t>petroleum_fuels</t>
  </si>
  <si>
    <t>PETR</t>
  </si>
  <si>
    <t>glass_products</t>
  </si>
  <si>
    <t>GLAS</t>
  </si>
  <si>
    <t>chemical_products</t>
  </si>
  <si>
    <t>CHEM</t>
  </si>
  <si>
    <t>steel</t>
  </si>
  <si>
    <t>STEL</t>
  </si>
  <si>
    <t>ALUM</t>
  </si>
  <si>
    <t>copper</t>
  </si>
  <si>
    <t>COPR</t>
  </si>
  <si>
    <t>SILI</t>
  </si>
  <si>
    <t>lithium</t>
  </si>
  <si>
    <t>LITH</t>
  </si>
  <si>
    <t>paper_products</t>
  </si>
  <si>
    <t>PAPR</t>
  </si>
  <si>
    <t>wood_products</t>
  </si>
  <si>
    <t>WDPR</t>
  </si>
  <si>
    <t>plastic_products</t>
  </si>
  <si>
    <t>PLAS</t>
  </si>
  <si>
    <t>recycled_metal</t>
  </si>
  <si>
    <t>SCMT</t>
  </si>
  <si>
    <t>RPAP</t>
  </si>
  <si>
    <t>recycled_paper</t>
  </si>
  <si>
    <t>recycled_plastic</t>
  </si>
  <si>
    <t>RPLA</t>
  </si>
  <si>
    <t>recycled_glass</t>
  </si>
  <si>
    <t>RGLA</t>
  </si>
  <si>
    <t>nuclear_fuels</t>
  </si>
  <si>
    <t>NUKF</t>
  </si>
  <si>
    <t>CC_NON_POTABLE, CC_ARMOURED, CC_WEIRD</t>
  </si>
  <si>
    <t>fertilizer</t>
  </si>
  <si>
    <t>FERT</t>
  </si>
  <si>
    <t>packaging</t>
  </si>
  <si>
    <t>PACK</t>
  </si>
  <si>
    <t>LOGS</t>
  </si>
  <si>
    <t>electronics</t>
  </si>
  <si>
    <t>POWR</t>
  </si>
  <si>
    <t>power_cells</t>
  </si>
  <si>
    <t>ELEC</t>
  </si>
  <si>
    <t>goods</t>
  </si>
  <si>
    <t>GOOD</t>
  </si>
  <si>
    <t>TOWNGROWTH_GOODS</t>
  </si>
  <si>
    <t>vehicles</t>
  </si>
  <si>
    <t>VEHI</t>
  </si>
  <si>
    <t>food</t>
  </si>
  <si>
    <t>FOOD</t>
  </si>
  <si>
    <t>alcohol</t>
  </si>
  <si>
    <t>BEER</t>
  </si>
  <si>
    <t>textiles</t>
  </si>
  <si>
    <t>TEXT</t>
  </si>
  <si>
    <t>construction_materials</t>
  </si>
  <si>
    <t>BDMT</t>
  </si>
  <si>
    <t>farm_supplies</t>
  </si>
  <si>
    <t>FMSP</t>
  </si>
  <si>
    <t>engineering_supplies</t>
  </si>
  <si>
    <t>ENSP</t>
  </si>
  <si>
    <t>marine_supplies</t>
  </si>
  <si>
    <t>SESP</t>
  </si>
  <si>
    <t>manufacturing_supplies</t>
  </si>
  <si>
    <t>MNSP</t>
  </si>
  <si>
    <t>valuables</t>
  </si>
  <si>
    <t>VALU</t>
  </si>
  <si>
    <t>CC_NON_POTABLE, CC_PIECE_GOODS, CC_EXPRESS, CC_ARMOURED</t>
  </si>
  <si>
    <t>nuclear_waste</t>
  </si>
  <si>
    <t>NUKW</t>
  </si>
  <si>
    <t>folder</t>
  </si>
  <si>
    <t>include</t>
  </si>
  <si>
    <t>Coal</t>
  </si>
  <si>
    <t>Mail</t>
  </si>
  <si>
    <t>Livestock</t>
  </si>
  <si>
    <t>Goods</t>
  </si>
  <si>
    <t>Logs</t>
  </si>
  <si>
    <t>Steel</t>
  </si>
  <si>
    <t>Milk</t>
  </si>
  <si>
    <t>Food</t>
  </si>
  <si>
    <t>Seafood</t>
  </si>
  <si>
    <t>Wool</t>
  </si>
  <si>
    <t>Packaging</t>
  </si>
  <si>
    <t>Sand</t>
  </si>
  <si>
    <t>Parcels</t>
  </si>
  <si>
    <t>Aggregates</t>
  </si>
  <si>
    <t>Cement</t>
  </si>
  <si>
    <t>Recyclables</t>
  </si>
  <si>
    <t>Waste</t>
  </si>
  <si>
    <t>Copper</t>
  </si>
  <si>
    <t>Valuables</t>
  </si>
  <si>
    <t>Bauxite</t>
  </si>
  <si>
    <t>Potash</t>
  </si>
  <si>
    <t>Vehicles</t>
  </si>
  <si>
    <t>Crude Oil</t>
  </si>
  <si>
    <t>Cereals and Grains</t>
  </si>
  <si>
    <t>Iron Ore</t>
  </si>
  <si>
    <t>Paper Products</t>
  </si>
  <si>
    <t>Wood Products</t>
  </si>
  <si>
    <t>Construction Materials</t>
  </si>
  <si>
    <t>Farm Supplies</t>
  </si>
  <si>
    <t>Glass Products</t>
  </si>
  <si>
    <t>Aluminium</t>
  </si>
  <si>
    <t>Petroleum Fuels</t>
  </si>
  <si>
    <t>Plant Fibres</t>
  </si>
  <si>
    <t>Copper Ore</t>
  </si>
  <si>
    <t>Uranium Ore</t>
  </si>
  <si>
    <t>mineral_ore</t>
  </si>
  <si>
    <t>Mineral Ore</t>
  </si>
  <si>
    <t>Power Cells</t>
  </si>
  <si>
    <t>Plastic Products</t>
  </si>
  <si>
    <t>Recycled Metal</t>
  </si>
  <si>
    <t>Recycled Plastic</t>
  </si>
  <si>
    <t>Recycled Glass</t>
  </si>
  <si>
    <t>Recycled Paper</t>
  </si>
  <si>
    <t>Textiles</t>
  </si>
  <si>
    <t>Electronics</t>
  </si>
  <si>
    <t>Fertilizer</t>
  </si>
  <si>
    <t>Nuclear Waste</t>
  </si>
  <si>
    <t>Chemical Products</t>
  </si>
  <si>
    <t>Nuclear Fuels</t>
  </si>
  <si>
    <t>Engineering Supplies</t>
  </si>
  <si>
    <t>Marine Supplies</t>
  </si>
  <si>
    <t>Manufacturing Supplies</t>
  </si>
  <si>
    <t>Silicon</t>
  </si>
  <si>
    <t>Lithium Carbonate</t>
  </si>
  <si>
    <t>Clay</t>
  </si>
  <si>
    <t>Organic Waste</t>
  </si>
  <si>
    <t>str_cargo_CID</t>
  </si>
  <si>
    <t>SEAF</t>
  </si>
  <si>
    <t>AGGR</t>
  </si>
  <si>
    <t>FTVG</t>
  </si>
  <si>
    <t>CNST</t>
  </si>
  <si>
    <t>ALCL</t>
  </si>
  <si>
    <t>FARM</t>
  </si>
  <si>
    <t>PLNT</t>
  </si>
  <si>
    <t>COPP</t>
  </si>
  <si>
    <t>OILC</t>
  </si>
  <si>
    <t>PCLS</t>
  </si>
  <si>
    <t>MORE</t>
  </si>
  <si>
    <t>NUWS</t>
  </si>
  <si>
    <t>ENGS</t>
  </si>
  <si>
    <t>MARI</t>
  </si>
  <si>
    <t>MANU</t>
  </si>
  <si>
    <t>OWST</t>
  </si>
  <si>
    <t>str_cargo_units</t>
  </si>
  <si>
    <t>{SIGNED_WORD} Commuters</t>
  </si>
  <si>
    <t>{WEIGHT} of Coal</t>
  </si>
  <si>
    <t>{VOLUME} of Crude Oil</t>
  </si>
  <si>
    <t>{VOLUME} of Milk</t>
  </si>
  <si>
    <t>{VOLUME} of Petroleum Fuels</t>
  </si>
  <si>
    <t>{COMMA} item{P "" s} of Livestock</t>
  </si>
  <si>
    <t>{WEIGHT} of Cereals or Grains</t>
  </si>
  <si>
    <t>{WEIGHT} of Logs</t>
  </si>
  <si>
    <t>{WEIGHT} of Iron Ore</t>
  </si>
  <si>
    <t>{WEIGHT} of Paper Products</t>
  </si>
  <si>
    <t>{WEIGHT} of Glass Products</t>
  </si>
  <si>
    <t>{WEIGHT} of Copper Ore</t>
  </si>
  <si>
    <t>{WEIGHT} of Uranium Ore</t>
  </si>
  <si>
    <t>{WEIGHT} of Mineral Ore</t>
  </si>
  <si>
    <t>{WEIGHT} of Steel</t>
  </si>
  <si>
    <t>{WEIGHT} of Seafood</t>
  </si>
  <si>
    <t>{WEIGHT} of Wood Products</t>
  </si>
  <si>
    <t>{WEIGHT} of Aggregates</t>
  </si>
  <si>
    <t>{WEIGHT} of Cement</t>
  </si>
  <si>
    <t>{WEIGHT} of Aluminium</t>
  </si>
  <si>
    <t>{WEIGHT} of Recyclables</t>
  </si>
  <si>
    <t>{WEIGHT} of Waste</t>
  </si>
  <si>
    <t>{WEIGHT} of Copper</t>
  </si>
  <si>
    <t>{WEIGHT} of Bauxite</t>
  </si>
  <si>
    <t>{WEIGHT} of Potash</t>
  </si>
  <si>
    <t>{WEIGHT} of Lithium Carbonate</t>
  </si>
  <si>
    <t>{SIGNED_WORD} bale{P 0 "" s} of Wool</t>
  </si>
  <si>
    <t>{WEIGHT} of Sand</t>
  </si>
  <si>
    <t>{SIGNED_WORD} Parcels</t>
  </si>
  <si>
    <t>{WEIGHT} of Fruit or Vegetables</t>
  </si>
  <si>
    <t>{SIGNED_WORD} bale{P 0 "" s} of Plant Fibres</t>
  </si>
  <si>
    <t>{SIGNED_WORD} bag{P 0 "" s} of Valuables</t>
  </si>
  <si>
    <t>{SIGNED_WORD} bag{P 0 "" s} of Mail</t>
  </si>
  <si>
    <t>{SIGNED_WORD} Tourists</t>
  </si>
  <si>
    <t>{SIGNED_WORD} Vehicles</t>
  </si>
  <si>
    <t>{WEIGHT} of Plastic Products</t>
  </si>
  <si>
    <t>{WEIGHT} of Recycled Metal</t>
  </si>
  <si>
    <t>{WEIGHT} of Recycled Plastic</t>
  </si>
  <si>
    <t>{WEIGHT} of Recycled Glass</t>
  </si>
  <si>
    <t>{WEIGHT} of Recycled Paper</t>
  </si>
  <si>
    <t>{WEIGHT} of Textiles</t>
  </si>
  <si>
    <t>{WEIGHT} of Fertilizer</t>
  </si>
  <si>
    <t>{WEIGHT} of Nuclear Waste</t>
  </si>
  <si>
    <t>{VOLUME} of Chemical Products</t>
  </si>
  <si>
    <t>{VOLUME} of Petrochemicals</t>
  </si>
  <si>
    <t>{WEIGHT} of Nuclear Fuels</t>
  </si>
  <si>
    <t>{WEIGHT} of Silicon</t>
  </si>
  <si>
    <t>{WEIGHT} of Clay</t>
  </si>
  <si>
    <t>{WEIGHT} of Organic Waste</t>
  </si>
  <si>
    <t>str_cargo_short_units</t>
  </si>
  <si>
    <t>{WEIGHT}</t>
  </si>
  <si>
    <t>{VOLUME}</t>
  </si>
  <si>
    <t>{SIGNED_WORD} bag{P 0 "" s}</t>
  </si>
  <si>
    <t>{COMMA} item{P "" s}</t>
  </si>
  <si>
    <t>{SIGNED_WORD} bale{P 0 "" s}</t>
  </si>
  <si>
    <t>str_cargo_name</t>
  </si>
  <si>
    <t>string</t>
  </si>
  <si>
    <t>silicon</t>
  </si>
  <si>
    <t>industry_item_name</t>
  </si>
  <si>
    <t>industry_ID</t>
  </si>
  <si>
    <t>industry_colour_number</t>
  </si>
  <si>
    <t>industry_layout</t>
  </si>
  <si>
    <t>prob_map_gen</t>
  </si>
  <si>
    <t>prob_in_game</t>
  </si>
  <si>
    <t>fund_cost_multiplier</t>
  </si>
  <si>
    <t>extra_text_industry</t>
  </si>
  <si>
    <t>mining</t>
  </si>
  <si>
    <t>2</t>
  </si>
  <si>
    <t>0</t>
  </si>
  <si>
    <t>255</t>
  </si>
  <si>
    <t>str_ind</t>
  </si>
  <si>
    <t>str_fund</t>
  </si>
  <si>
    <t>str_station</t>
  </si>
  <si>
    <t>Mine</t>
  </si>
  <si>
    <t>accept_cargo</t>
  </si>
  <si>
    <t>produce_cargo</t>
  </si>
  <si>
    <t>supply</t>
  </si>
  <si>
    <t>stock_num</t>
  </si>
  <si>
    <t>cons_num</t>
  </si>
  <si>
    <t>dirt</t>
  </si>
  <si>
    <t>concrete</t>
  </si>
  <si>
    <t>extraction</t>
  </si>
  <si>
    <t>TRUE</t>
  </si>
  <si>
    <t>primary</t>
  </si>
  <si>
    <t>secondary</t>
  </si>
  <si>
    <t>support</t>
  </si>
  <si>
    <t>accept_cargo_type</t>
  </si>
  <si>
    <t>produce_cargo_type</t>
  </si>
  <si>
    <t>core</t>
  </si>
  <si>
    <t>byproduct</t>
  </si>
  <si>
    <t>prod_num</t>
  </si>
  <si>
    <t>bias_num</t>
  </si>
  <si>
    <t>demand_num</t>
  </si>
  <si>
    <t>FALSE</t>
  </si>
  <si>
    <t>industry_pack</t>
  </si>
  <si>
    <t>industry_type</t>
  </si>
  <si>
    <t>processing</t>
  </si>
  <si>
    <t>inland_extraction</t>
  </si>
  <si>
    <t>(1-Extraction) Inland Extraction</t>
  </si>
  <si>
    <t>Wells</t>
  </si>
  <si>
    <t>{}Represents inland extraction activity</t>
  </si>
  <si>
    <t>offshore_extraction</t>
  </si>
  <si>
    <t>(1-Extraction) Offshore Extraction</t>
  </si>
  <si>
    <t>Rig</t>
  </si>
  <si>
    <t>{}Represents offshore extraction activity</t>
  </si>
  <si>
    <t>inland_fisheries</t>
  </si>
  <si>
    <t>(1-Extraction) Inland Fisheries</t>
  </si>
  <si>
    <t>{}Represents inland fisheries activity</t>
  </si>
  <si>
    <t>Hatchery</t>
  </si>
  <si>
    <t>offshore_fisheries</t>
  </si>
  <si>
    <t>(1-Extraction) Offshore Fisheries</t>
  </si>
  <si>
    <t>{}Represents offshore fishing activity</t>
  </si>
  <si>
    <t>Fishing Grounds</t>
  </si>
  <si>
    <t>inland_excavation</t>
  </si>
  <si>
    <t>(1-Extraction) Inland Excavation</t>
  </si>
  <si>
    <t>{}Represents inland excavation activity</t>
  </si>
  <si>
    <t>Quarry</t>
  </si>
  <si>
    <t>offshore_excavation</t>
  </si>
  <si>
    <t>(1-Extraction) Offshore Excavation</t>
  </si>
  <si>
    <t>{}Represents offshore excavation activity</t>
  </si>
  <si>
    <t>Dredging Site</t>
  </si>
  <si>
    <t>husbandry</t>
  </si>
  <si>
    <t>cultivation</t>
  </si>
  <si>
    <t>forestry</t>
  </si>
  <si>
    <t>(1-Extraction) Mining</t>
  </si>
  <si>
    <t>(1-Extraction) Husbandry</t>
  </si>
  <si>
    <t>(1-Extraction) Cultivation</t>
  </si>
  <si>
    <t>(1-Extraction) Forestry</t>
  </si>
  <si>
    <t>{}Represents animal farming activity</t>
  </si>
  <si>
    <t>{}Represents crop growing activity</t>
  </si>
  <si>
    <t>{}Represents forestry activity</t>
  </si>
  <si>
    <t>Farm</t>
  </si>
  <si>
    <t>Forest</t>
  </si>
  <si>
    <t>metals</t>
  </si>
  <si>
    <t>(2-Processing) Metals Processing</t>
  </si>
  <si>
    <t>Mill</t>
  </si>
  <si>
    <t>Plant</t>
  </si>
  <si>
    <t>refinement</t>
  </si>
  <si>
    <t>chemicals</t>
  </si>
  <si>
    <t>products</t>
  </si>
  <si>
    <t>reclamation</t>
  </si>
  <si>
    <t>materials</t>
  </si>
  <si>
    <t>enrichment</t>
  </si>
  <si>
    <t>(2-Processing) Mineral Purification</t>
  </si>
  <si>
    <t>{}Represents purification of minerals</t>
  </si>
  <si>
    <t>{}Represents refinement of metals</t>
  </si>
  <si>
    <t>(2-Processing) Refinement</t>
  </si>
  <si>
    <t>(2-Processing) Chemicals</t>
  </si>
  <si>
    <t>(2-Processing) Materials</t>
  </si>
  <si>
    <t>(2-Processing) Products</t>
  </si>
  <si>
    <t>(2-Processing) Reclamation</t>
  </si>
  <si>
    <t>(2-Processing) Enrichment</t>
  </si>
  <si>
    <t>{}Represents refinement of extracted raw materials</t>
  </si>
  <si>
    <t>Refinery</t>
  </si>
  <si>
    <t>{}Represents processing of chemicals</t>
  </si>
  <si>
    <t>{}Represents processing of materials</t>
  </si>
  <si>
    <t>{}Represents processing of materials into products used in manufacturing</t>
  </si>
  <si>
    <t>{}Represents recycling of materials</t>
  </si>
  <si>
    <t>{}Represents enrichment of materials</t>
  </si>
  <si>
    <t>purification</t>
  </si>
  <si>
    <t>consumer_goods</t>
  </si>
  <si>
    <t>manufacturing</t>
  </si>
  <si>
    <t>components</t>
  </si>
  <si>
    <t>food_processing</t>
  </si>
  <si>
    <t>{}Represents manufacturing of components used in other manufacturing processes</t>
  </si>
  <si>
    <t>Factory</t>
  </si>
  <si>
    <t>{}Represents manufacturing of goods for consumers</t>
  </si>
  <si>
    <t>(3-Manufacturing) Consumer Goods</t>
  </si>
  <si>
    <t>(3-Manufacturing) Food Processing</t>
  </si>
  <si>
    <t>{}Represents processing of food products</t>
  </si>
  <si>
    <t>(3-Manufacturing) Component Manufacturing</t>
  </si>
  <si>
    <t>{}Represents manufacturing of supplies</t>
  </si>
  <si>
    <t>(3-Manufacturing) Textiles</t>
  </si>
  <si>
    <t>{}Represents manufacturing of textiles</t>
  </si>
  <si>
    <t>(3-Manufacturing) Engineering Supplies Manufacturing</t>
  </si>
  <si>
    <t>farming_supplies</t>
  </si>
  <si>
    <t>(3-Manufacturing) Farming Supplies Manufacturing</t>
  </si>
  <si>
    <t>(3-Manufacturing) Marine Supplies Manufacturing</t>
  </si>
  <si>
    <t>(3-Manufacturing) Manufacturing Supplies Manufacturing</t>
  </si>
  <si>
    <t>(3-Manufacturing) Construction Materials Manufacturing</t>
  </si>
  <si>
    <t>{SIGNED_WORD} Passengers</t>
  </si>
  <si>
    <t>Fruit and Vegetables</t>
  </si>
  <si>
    <t>Petrochemicals</t>
  </si>
  <si>
    <t>aluminium</t>
  </si>
  <si>
    <t>CC_BULK</t>
  </si>
  <si>
    <t>natural_gas</t>
  </si>
  <si>
    <t>FUEL</t>
  </si>
  <si>
    <t>105</t>
  </si>
  <si>
    <t>1</t>
  </si>
  <si>
    <t>30</t>
  </si>
  <si>
    <t>56</t>
  </si>
  <si>
    <t>156</t>
  </si>
  <si>
    <t>171</t>
  </si>
  <si>
    <t>0.9</t>
  </si>
  <si>
    <t>CC_LIQUID</t>
  </si>
  <si>
    <t>75</t>
  </si>
  <si>
    <t>CC_PIECE_GOODS</t>
  </si>
  <si>
    <t>16</t>
  </si>
  <si>
    <t>123</t>
  </si>
  <si>
    <t>0.5</t>
  </si>
  <si>
    <t>CC_EXPRESS</t>
  </si>
  <si>
    <t>10</t>
  </si>
  <si>
    <t>64</t>
  </si>
  <si>
    <t>166</t>
  </si>
  <si>
    <t>190</t>
  </si>
  <si>
    <t>104</t>
  </si>
  <si>
    <t>55</t>
  </si>
  <si>
    <t>97</t>
  </si>
  <si>
    <t>118</t>
  </si>
  <si>
    <t>60</t>
  </si>
  <si>
    <t>14</t>
  </si>
  <si>
    <t>1.1</t>
  </si>
  <si>
    <t>CC_EXPRESS, CC_LIQUID, CC_REFRIGERATED</t>
  </si>
  <si>
    <t>145</t>
  </si>
  <si>
    <t>12</t>
  </si>
  <si>
    <t>140</t>
  </si>
  <si>
    <t>CC_EXPRESS, CC_REFRIGERATED</t>
  </si>
  <si>
    <t>18</t>
  </si>
  <si>
    <t>148</t>
  </si>
  <si>
    <t>CC_PIECE_GOODS, CC_COVERED</t>
  </si>
  <si>
    <t>98</t>
  </si>
  <si>
    <t>0.65</t>
  </si>
  <si>
    <t>CC_EXPRESS, CC_PIECE_GOODS</t>
  </si>
  <si>
    <t>120</t>
  </si>
  <si>
    <t>127</t>
  </si>
  <si>
    <t>52</t>
  </si>
  <si>
    <t>CC_BULK, CC_PIECE_GOODS</t>
  </si>
  <si>
    <t>124</t>
  </si>
  <si>
    <t>0.25</t>
  </si>
  <si>
    <t>CC_MAIL, CC_EXPRESS</t>
  </si>
  <si>
    <t>{}Represents mining activity</t>
  </si>
  <si>
    <t>Alcoholic Beverages</t>
  </si>
  <si>
    <t>Liquid Natural Gas</t>
  </si>
  <si>
    <t>admin_category</t>
  </si>
  <si>
    <t>common</t>
  </si>
  <si>
    <t>distribution</t>
  </si>
  <si>
    <t>utilities</t>
  </si>
  <si>
    <t>210</t>
  </si>
  <si>
    <t>92</t>
  </si>
  <si>
    <t>CC_EXPRESS, CC_PIECE_GOODS, CC_REFRIGERATED</t>
  </si>
  <si>
    <t>61</t>
  </si>
  <si>
    <t>CC_PIECE_GOODS, CC_BULK</t>
  </si>
  <si>
    <t>134</t>
  </si>
  <si>
    <t>183</t>
  </si>
  <si>
    <t>CC_EXPRESS, CC_PIECE_GOODS, CC_LIQUID</t>
  </si>
  <si>
    <t>9</t>
  </si>
  <si>
    <t>36</t>
  </si>
  <si>
    <t>194</t>
  </si>
  <si>
    <t>32</t>
  </si>
  <si>
    <t>174</t>
  </si>
  <si>
    <t>CC_BULK, CC_COVERED, CC_POWDERIZED</t>
  </si>
  <si>
    <t>119</t>
  </si>
  <si>
    <t>169</t>
  </si>
  <si>
    <t>180</t>
  </si>
  <si>
    <t>133</t>
  </si>
  <si>
    <t>157</t>
  </si>
  <si>
    <t>141</t>
  </si>
  <si>
    <t>65</t>
  </si>
  <si>
    <t>0.8</t>
  </si>
  <si>
    <t>83</t>
  </si>
  <si>
    <t>128</t>
  </si>
  <si>
    <t>100</t>
  </si>
  <si>
    <t>108</t>
  </si>
  <si>
    <t>160</t>
  </si>
  <si>
    <t>90</t>
  </si>
  <si>
    <t>214</t>
  </si>
  <si>
    <t>146</t>
  </si>
  <si>
    <t>189</t>
  </si>
  <si>
    <t>81</t>
  </si>
  <si>
    <t>85</t>
  </si>
  <si>
    <t>103</t>
  </si>
  <si>
    <t>102</t>
  </si>
  <si>
    <t>165</t>
  </si>
  <si>
    <t>CC_PIECE_GOODS, CC_OVERSIZED</t>
  </si>
  <si>
    <t>15</t>
  </si>
  <si>
    <t>175</t>
  </si>
  <si>
    <t>126</t>
  </si>
  <si>
    <t>CC_PIECE_GOODS, CC_BULK, CC_COVERED</t>
  </si>
  <si>
    <t>149</t>
  </si>
  <si>
    <t>CC_BULK, CC_NON_POURABLE</t>
  </si>
  <si>
    <t>107</t>
  </si>
  <si>
    <t>38</t>
  </si>
  <si>
    <t>7</t>
  </si>
  <si>
    <t>151</t>
  </si>
  <si>
    <t>22</t>
  </si>
  <si>
    <t>44</t>
  </si>
  <si>
    <t>5</t>
  </si>
  <si>
    <t>1.2</t>
  </si>
  <si>
    <t>CC_LIQUID, CC_PIECE_GOODS, CC_HAZARDOUS</t>
  </si>
  <si>
    <t>117</t>
  </si>
  <si>
    <t>177</t>
  </si>
  <si>
    <t>178</t>
  </si>
  <si>
    <t>CC_BULK, CC_COVERED</t>
  </si>
  <si>
    <t>186</t>
  </si>
  <si>
    <t>CC_REFRIGERATED, CC_EXPRESS</t>
  </si>
  <si>
    <t>20</t>
  </si>
  <si>
    <t>168</t>
  </si>
  <si>
    <t>125</t>
  </si>
  <si>
    <t>explosives</t>
  </si>
  <si>
    <t>BOOM</t>
  </si>
  <si>
    <t>.25</t>
  </si>
  <si>
    <t>CC_EXPRESS, CC_PIECE_GOODS, CC_HAZARDOUS</t>
  </si>
  <si>
    <t>6</t>
  </si>
  <si>
    <t>42</t>
  </si>
  <si>
    <t>Explosives</t>
  </si>
  <si>
    <t>3</t>
  </si>
  <si>
    <t>{}Represents manufacturing of explosives used in extraction</t>
  </si>
  <si>
    <t>(3-Manufacturing) Explosives</t>
  </si>
  <si>
    <t>{SIGNED_WORD} pallet{P 0 "" s} of Goods</t>
  </si>
  <si>
    <t>{SIGNED_WORD} pallet{P 0 "" s}</t>
  </si>
  <si>
    <t>{SIGNED_WORD} pallet{P 0 "" s} of Food</t>
  </si>
  <si>
    <t>{SIGNED_WORD} pallet{P 0 "" s} of Packaging</t>
  </si>
  <si>
    <t>{SIGNED_WORD} pallet{P 0 "" s} of Construction Materials</t>
  </si>
  <si>
    <t>{SIGNED_WORD} pallet{P 0 "" s} of Alcoholic Beverages</t>
  </si>
  <si>
    <t>{SIGNED_WORD} pallet{P 0 "" s} of Farm Supplies</t>
  </si>
  <si>
    <t>{SIGNED_WORD} pallet{P 0 "" s} of Power Cells</t>
  </si>
  <si>
    <t>{SIGNED_WORD} pallet{P 0 "" s} of Electronics</t>
  </si>
  <si>
    <t>{SIGNED_WORD} pallet{P 0 "" s} of Engineering Supplies</t>
  </si>
  <si>
    <t>{SIGNED_WORD} pallet{P 0 "" s} of Marine Supplies</t>
  </si>
  <si>
    <t>{SIGNED_WORD} pallet{P 0 "" s} of Manufacturing Supplies</t>
  </si>
  <si>
    <t>{SIGNED_WORD} pallet{P 0 "" s} of Explosives</t>
  </si>
  <si>
    <t>retail</t>
  </si>
  <si>
    <t>(4 - Distribution)  Retail</t>
  </si>
  <si>
    <t>house_item_name</t>
  </si>
  <si>
    <t>house_ID</t>
  </si>
  <si>
    <t>house_population</t>
  </si>
  <si>
    <t>house_layout</t>
  </si>
  <si>
    <t>str_house</t>
  </si>
  <si>
    <t>local_authority_impact</t>
  </si>
  <si>
    <t>removal_cost_multiplier</t>
  </si>
  <si>
    <t>80</t>
  </si>
  <si>
    <t>accept_amount</t>
  </si>
  <si>
    <t>produce_amount</t>
  </si>
  <si>
    <t>40</t>
  </si>
  <si>
    <t>8</t>
  </si>
  <si>
    <t>Retail (OTIS)</t>
  </si>
  <si>
    <t>services</t>
  </si>
  <si>
    <t>Services (OTIS)</t>
  </si>
  <si>
    <t>residential</t>
  </si>
  <si>
    <t>Residential (OTIS)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</si>
</sst>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2" borderId="0" xfId="0" applyNumberFormat="1" applyFill="1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1" fontId="0" fillId="2" borderId="0" xfId="0" applyNumberFormat="1" applyFill="1"/>
    <xf numFmtId="1" fontId="0" fillId="0" borderId="0" xfId="0" applyNumberFormat="1" applyAlignment="1">
      <alignment wrapText="1"/>
    </xf>
    <xf numFmtId="1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2" fontId="0" fillId="2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E412-BEDD-4897-B555-855B4B690393}">
  <sheetPr filterMode="1"/>
  <dimension ref="A1:W64"/>
  <sheetViews>
    <sheetView zoomScale="85" zoomScaleNormal="85" workbookViewId="0">
      <pane xSplit="2" topLeftCell="G1" activePane="topRight" state="frozen"/>
      <selection pane="topRight" activeCell="B20" sqref="A1:W64"/>
    </sheetView>
  </sheetViews>
  <sheetFormatPr defaultRowHeight="15" x14ac:dyDescent="0.25"/>
  <cols>
    <col min="1" max="1" width="21.5703125" style="2" customWidth="1"/>
    <col min="2" max="2" width="20.42578125" style="2" bestFit="1" customWidth="1"/>
    <col min="3" max="4" width="9.140625" style="2"/>
    <col min="5" max="5" width="9.140625" style="12"/>
    <col min="6" max="6" width="23.85546875" style="2" customWidth="1"/>
    <col min="7" max="10" width="9.140625" style="2"/>
    <col min="11" max="11" width="49" style="2" bestFit="1" customWidth="1"/>
    <col min="12" max="14" width="9.140625" style="2"/>
    <col min="15" max="15" width="10.7109375" style="10" bestFit="1" customWidth="1"/>
    <col min="16" max="20" width="9.140625" style="2"/>
    <col min="21" max="21" width="54" style="2" bestFit="1" customWidth="1"/>
    <col min="22" max="16384" width="9.140625" style="2"/>
  </cols>
  <sheetData>
    <row r="1" spans="1:23" s="1" customFormat="1" x14ac:dyDescent="0.25">
      <c r="A1" s="1" t="s">
        <v>2</v>
      </c>
      <c r="B1" s="1" t="s">
        <v>283</v>
      </c>
      <c r="C1" s="1" t="s">
        <v>8</v>
      </c>
      <c r="D1" s="1" t="s">
        <v>3</v>
      </c>
      <c r="E1" s="1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11</v>
      </c>
      <c r="K1" s="1" t="s">
        <v>10</v>
      </c>
      <c r="L1" s="1" t="s">
        <v>12</v>
      </c>
      <c r="M1" s="1" t="s">
        <v>13</v>
      </c>
      <c r="N1" s="1" t="s">
        <v>14</v>
      </c>
      <c r="O1" s="9" t="s">
        <v>152</v>
      </c>
      <c r="P1" s="1" t="s">
        <v>151</v>
      </c>
      <c r="Q1" s="1" t="s">
        <v>0</v>
      </c>
      <c r="R1" s="1" t="s">
        <v>1</v>
      </c>
      <c r="S1" s="1" t="s">
        <v>282</v>
      </c>
      <c r="T1" s="1" t="s">
        <v>209</v>
      </c>
      <c r="U1" s="1" t="s">
        <v>226</v>
      </c>
      <c r="V1" s="1" t="s">
        <v>276</v>
      </c>
      <c r="W1" s="1" t="s">
        <v>460</v>
      </c>
    </row>
    <row r="2" spans="1:23" x14ac:dyDescent="0.25">
      <c r="A2" s="2" t="s">
        <v>22</v>
      </c>
      <c r="B2" s="2" t="str">
        <f t="shared" ref="B2:B33" si="0">UPPER(A2)</f>
        <v>PASSENGERS</v>
      </c>
      <c r="C2" s="2" t="s">
        <v>23</v>
      </c>
      <c r="D2" s="2">
        <v>0</v>
      </c>
      <c r="E2" s="2">
        <v>152</v>
      </c>
      <c r="F2" s="2" t="s">
        <v>17</v>
      </c>
      <c r="G2" s="2" t="s">
        <v>18</v>
      </c>
      <c r="H2" s="2">
        <v>0</v>
      </c>
      <c r="I2" s="2">
        <v>4</v>
      </c>
      <c r="J2" s="2">
        <v>6.25E-2</v>
      </c>
      <c r="K2" s="2" t="s">
        <v>20</v>
      </c>
      <c r="L2" s="2">
        <v>0</v>
      </c>
      <c r="M2" s="2">
        <v>22</v>
      </c>
      <c r="N2" s="2" t="s">
        <v>414</v>
      </c>
      <c r="O2" s="10" t="b">
        <v>1</v>
      </c>
      <c r="P2" s="2" t="str">
        <f t="shared" ref="P2:P33" si="1">A2</f>
        <v>passengers</v>
      </c>
      <c r="Q2" s="2">
        <v>0</v>
      </c>
      <c r="R2" s="2">
        <v>0</v>
      </c>
      <c r="S2" s="2" t="s">
        <v>21</v>
      </c>
      <c r="T2" s="2" t="str">
        <f>C2</f>
        <v>PASS</v>
      </c>
      <c r="U2" s="2" t="s">
        <v>407</v>
      </c>
      <c r="V2" s="2" t="s">
        <v>407</v>
      </c>
      <c r="W2" s="2" t="s">
        <v>461</v>
      </c>
    </row>
    <row r="3" spans="1:23" x14ac:dyDescent="0.25">
      <c r="A3" s="2" t="s">
        <v>58</v>
      </c>
      <c r="B3" s="2" t="str">
        <f t="shared" si="0"/>
        <v>COAL</v>
      </c>
      <c r="C3" s="2" t="s">
        <v>59</v>
      </c>
      <c r="D3" s="2">
        <v>1</v>
      </c>
      <c r="E3" s="12" t="s">
        <v>415</v>
      </c>
      <c r="F3" s="2" t="s">
        <v>35</v>
      </c>
      <c r="G3" s="2" t="s">
        <v>18</v>
      </c>
      <c r="H3" s="2">
        <v>1</v>
      </c>
      <c r="I3" s="2">
        <v>1</v>
      </c>
      <c r="J3" s="2" t="s">
        <v>18</v>
      </c>
      <c r="K3" s="2" t="s">
        <v>411</v>
      </c>
      <c r="L3" s="2" t="s">
        <v>416</v>
      </c>
      <c r="M3" s="2">
        <v>255</v>
      </c>
      <c r="N3" s="2" t="s">
        <v>417</v>
      </c>
      <c r="O3" s="10" t="b">
        <v>1</v>
      </c>
      <c r="P3" s="2" t="str">
        <f t="shared" si="1"/>
        <v>coal</v>
      </c>
      <c r="Q3" s="2">
        <v>1</v>
      </c>
      <c r="R3" s="2">
        <v>0</v>
      </c>
      <c r="S3" s="2" t="s">
        <v>153</v>
      </c>
      <c r="T3" s="2" t="str">
        <f>C3</f>
        <v>COAL</v>
      </c>
      <c r="U3" s="2" t="s">
        <v>228</v>
      </c>
      <c r="V3" s="2" t="s">
        <v>277</v>
      </c>
      <c r="W3" s="2" t="s">
        <v>308</v>
      </c>
    </row>
    <row r="4" spans="1:23" x14ac:dyDescent="0.25">
      <c r="A4" s="2" t="s">
        <v>26</v>
      </c>
      <c r="B4" s="2" t="str">
        <f t="shared" si="0"/>
        <v>MAIL</v>
      </c>
      <c r="C4" s="2" t="s">
        <v>29</v>
      </c>
      <c r="D4" s="2">
        <v>2</v>
      </c>
      <c r="E4" s="2">
        <v>15</v>
      </c>
      <c r="F4" s="2" t="s">
        <v>28</v>
      </c>
      <c r="G4" s="2" t="s">
        <v>18</v>
      </c>
      <c r="H4" s="2">
        <v>0</v>
      </c>
      <c r="I4" s="2">
        <v>2</v>
      </c>
      <c r="J4" s="2">
        <v>0.25</v>
      </c>
      <c r="K4" s="2" t="s">
        <v>27</v>
      </c>
      <c r="L4" s="2">
        <v>6</v>
      </c>
      <c r="M4" s="2">
        <v>24</v>
      </c>
      <c r="N4" s="2" t="s">
        <v>418</v>
      </c>
      <c r="O4" s="10" t="b">
        <v>1</v>
      </c>
      <c r="P4" s="2" t="str">
        <f t="shared" si="1"/>
        <v>mail</v>
      </c>
      <c r="Q4" s="2">
        <v>2</v>
      </c>
      <c r="R4" s="2">
        <v>0</v>
      </c>
      <c r="S4" s="2" t="s">
        <v>154</v>
      </c>
      <c r="T4" s="2" t="str">
        <f>C4</f>
        <v>MAIL</v>
      </c>
      <c r="U4" s="2" t="s">
        <v>259</v>
      </c>
      <c r="V4" s="2" t="s">
        <v>279</v>
      </c>
      <c r="W4" s="2" t="s">
        <v>461</v>
      </c>
    </row>
    <row r="5" spans="1:23" x14ac:dyDescent="0.25">
      <c r="A5" s="2" t="s">
        <v>66</v>
      </c>
      <c r="B5" s="2" t="str">
        <f t="shared" si="0"/>
        <v>CRUDE_OIL</v>
      </c>
      <c r="C5" s="2" t="s">
        <v>67</v>
      </c>
      <c r="D5" s="2">
        <v>3</v>
      </c>
      <c r="E5" s="12" t="s">
        <v>419</v>
      </c>
      <c r="F5" s="2" t="s">
        <v>35</v>
      </c>
      <c r="G5" s="2" t="s">
        <v>18</v>
      </c>
      <c r="H5" s="2">
        <v>1</v>
      </c>
      <c r="I5" s="2">
        <v>1</v>
      </c>
      <c r="J5" s="2" t="s">
        <v>420</v>
      </c>
      <c r="K5" s="2" t="s">
        <v>421</v>
      </c>
      <c r="L5" s="2">
        <v>30</v>
      </c>
      <c r="M5" s="2">
        <v>255</v>
      </c>
      <c r="N5" s="2">
        <v>93</v>
      </c>
      <c r="O5" s="10" t="b">
        <v>1</v>
      </c>
      <c r="P5" s="2" t="str">
        <f t="shared" si="1"/>
        <v>crude_oil</v>
      </c>
      <c r="Q5" s="2">
        <v>3</v>
      </c>
      <c r="R5" s="2">
        <v>0</v>
      </c>
      <c r="S5" s="2" t="s">
        <v>175</v>
      </c>
      <c r="T5" s="2" t="s">
        <v>218</v>
      </c>
      <c r="U5" s="2" t="s">
        <v>229</v>
      </c>
      <c r="V5" s="2" t="s">
        <v>278</v>
      </c>
      <c r="W5" s="2" t="s">
        <v>308</v>
      </c>
    </row>
    <row r="6" spans="1:23" x14ac:dyDescent="0.25">
      <c r="A6" s="2" t="s">
        <v>52</v>
      </c>
      <c r="B6" s="2" t="str">
        <f t="shared" si="0"/>
        <v>LIVESTOCK</v>
      </c>
      <c r="C6" s="2" t="s">
        <v>53</v>
      </c>
      <c r="D6" s="2">
        <v>4</v>
      </c>
      <c r="E6" s="12" t="s">
        <v>422</v>
      </c>
      <c r="F6" s="2" t="s">
        <v>35</v>
      </c>
      <c r="G6" s="2" t="s">
        <v>18</v>
      </c>
      <c r="H6" s="2">
        <v>1</v>
      </c>
      <c r="I6" s="2">
        <v>1</v>
      </c>
      <c r="J6" s="2" t="s">
        <v>54</v>
      </c>
      <c r="K6" s="2" t="s">
        <v>423</v>
      </c>
      <c r="L6" s="2">
        <v>0</v>
      </c>
      <c r="M6" s="2" t="s">
        <v>424</v>
      </c>
      <c r="N6" s="2" t="s">
        <v>425</v>
      </c>
      <c r="O6" s="10" t="b">
        <v>1</v>
      </c>
      <c r="P6" s="2" t="str">
        <f t="shared" si="1"/>
        <v>livestock</v>
      </c>
      <c r="Q6" s="2">
        <v>4</v>
      </c>
      <c r="R6" s="2">
        <v>0</v>
      </c>
      <c r="S6" s="2" t="s">
        <v>155</v>
      </c>
      <c r="T6" s="2" t="str">
        <f>C6</f>
        <v>LVST</v>
      </c>
      <c r="U6" s="2" t="s">
        <v>232</v>
      </c>
      <c r="V6" s="2" t="s">
        <v>280</v>
      </c>
      <c r="W6" s="2" t="s">
        <v>308</v>
      </c>
    </row>
    <row r="7" spans="1:23" x14ac:dyDescent="0.25">
      <c r="A7" s="2" t="s">
        <v>125</v>
      </c>
      <c r="B7" s="2" t="str">
        <f t="shared" si="0"/>
        <v>GOODS</v>
      </c>
      <c r="C7" s="2" t="s">
        <v>126</v>
      </c>
      <c r="D7" s="2">
        <v>5</v>
      </c>
      <c r="E7" s="2">
        <v>194</v>
      </c>
      <c r="F7" s="2" t="s">
        <v>127</v>
      </c>
      <c r="G7" s="2" t="s">
        <v>18</v>
      </c>
      <c r="H7" s="2">
        <v>1</v>
      </c>
      <c r="I7" s="2" t="s">
        <v>294</v>
      </c>
      <c r="J7" s="2" t="s">
        <v>426</v>
      </c>
      <c r="K7" s="2" t="s">
        <v>427</v>
      </c>
      <c r="L7" s="2" t="s">
        <v>428</v>
      </c>
      <c r="M7" s="2" t="s">
        <v>429</v>
      </c>
      <c r="N7" s="2" t="s">
        <v>430</v>
      </c>
      <c r="O7" s="10" t="b">
        <v>1</v>
      </c>
      <c r="P7" s="2" t="str">
        <f t="shared" si="1"/>
        <v>goods</v>
      </c>
      <c r="Q7" s="2">
        <v>5</v>
      </c>
      <c r="R7" s="2">
        <v>0</v>
      </c>
      <c r="S7" s="2" t="s">
        <v>156</v>
      </c>
      <c r="T7" s="2" t="str">
        <f>C7</f>
        <v>GOOD</v>
      </c>
      <c r="U7" s="2" t="s">
        <v>535</v>
      </c>
      <c r="V7" s="2" t="s">
        <v>536</v>
      </c>
      <c r="W7" s="2" t="s">
        <v>388</v>
      </c>
    </row>
    <row r="8" spans="1:23" x14ac:dyDescent="0.25">
      <c r="A8" s="2" t="s">
        <v>46</v>
      </c>
      <c r="B8" s="2" t="str">
        <f t="shared" si="0"/>
        <v>GRAIN</v>
      </c>
      <c r="C8" s="2" t="s">
        <v>47</v>
      </c>
      <c r="D8" s="2">
        <v>6</v>
      </c>
      <c r="E8" s="12" t="s">
        <v>431</v>
      </c>
      <c r="F8" s="2" t="s">
        <v>35</v>
      </c>
      <c r="G8" s="2" t="s">
        <v>18</v>
      </c>
      <c r="H8" s="2">
        <v>1</v>
      </c>
      <c r="I8" s="2">
        <v>1</v>
      </c>
      <c r="J8" s="2" t="s">
        <v>18</v>
      </c>
      <c r="K8" s="2" t="s">
        <v>411</v>
      </c>
      <c r="L8" s="2">
        <v>4</v>
      </c>
      <c r="M8" s="2">
        <v>40</v>
      </c>
      <c r="N8" s="2" t="s">
        <v>432</v>
      </c>
      <c r="O8" s="10" t="b">
        <v>1</v>
      </c>
      <c r="P8" s="2" t="str">
        <f t="shared" si="1"/>
        <v>grain</v>
      </c>
      <c r="Q8" s="2">
        <v>6</v>
      </c>
      <c r="R8" s="2">
        <v>0</v>
      </c>
      <c r="S8" s="2" t="s">
        <v>176</v>
      </c>
      <c r="T8" s="2" t="str">
        <f>C8</f>
        <v>GRAI</v>
      </c>
      <c r="U8" s="2" t="s">
        <v>233</v>
      </c>
      <c r="V8" s="2" t="s">
        <v>277</v>
      </c>
      <c r="W8" s="2" t="s">
        <v>308</v>
      </c>
    </row>
    <row r="9" spans="1:23" x14ac:dyDescent="0.25">
      <c r="A9" s="2" t="s">
        <v>56</v>
      </c>
      <c r="B9" s="2" t="str">
        <f t="shared" si="0"/>
        <v>LOGS</v>
      </c>
      <c r="C9" s="2" t="s">
        <v>57</v>
      </c>
      <c r="D9" s="2">
        <v>7</v>
      </c>
      <c r="E9" s="12" t="s">
        <v>433</v>
      </c>
      <c r="F9" s="2" t="s">
        <v>35</v>
      </c>
      <c r="G9" s="2" t="s">
        <v>18</v>
      </c>
      <c r="H9" s="2">
        <v>1</v>
      </c>
      <c r="I9" s="2">
        <v>1</v>
      </c>
      <c r="J9" s="2" t="s">
        <v>18</v>
      </c>
      <c r="K9" s="2" t="s">
        <v>423</v>
      </c>
      <c r="L9" s="2">
        <v>24</v>
      </c>
      <c r="M9" s="2">
        <v>255</v>
      </c>
      <c r="N9" s="2" t="s">
        <v>434</v>
      </c>
      <c r="O9" s="10" t="b">
        <v>1</v>
      </c>
      <c r="P9" s="2" t="str">
        <f t="shared" si="1"/>
        <v>logs</v>
      </c>
      <c r="Q9" s="2">
        <v>8</v>
      </c>
      <c r="R9" s="2">
        <v>0</v>
      </c>
      <c r="S9" s="2" t="s">
        <v>157</v>
      </c>
      <c r="T9" s="2" t="s">
        <v>120</v>
      </c>
      <c r="U9" s="2" t="s">
        <v>234</v>
      </c>
      <c r="V9" s="2" t="s">
        <v>277</v>
      </c>
      <c r="W9" s="2" t="s">
        <v>308</v>
      </c>
    </row>
    <row r="10" spans="1:23" x14ac:dyDescent="0.25">
      <c r="A10" s="2" t="s">
        <v>60</v>
      </c>
      <c r="B10" s="2" t="str">
        <f t="shared" si="0"/>
        <v>IRON_ORE</v>
      </c>
      <c r="C10" s="2" t="s">
        <v>61</v>
      </c>
      <c r="D10" s="2">
        <v>8</v>
      </c>
      <c r="E10" s="12" t="s">
        <v>435</v>
      </c>
      <c r="F10" s="2" t="s">
        <v>35</v>
      </c>
      <c r="G10" s="2" t="s">
        <v>18</v>
      </c>
      <c r="H10" s="2">
        <v>1</v>
      </c>
      <c r="I10" s="2">
        <v>1</v>
      </c>
      <c r="J10" s="2" t="s">
        <v>18</v>
      </c>
      <c r="K10" s="2" t="s">
        <v>411</v>
      </c>
      <c r="L10" s="2">
        <v>30</v>
      </c>
      <c r="M10" s="2">
        <v>255</v>
      </c>
      <c r="N10" s="2" t="s">
        <v>436</v>
      </c>
      <c r="O10" s="10" t="b">
        <v>1</v>
      </c>
      <c r="P10" s="2" t="str">
        <f t="shared" si="1"/>
        <v>iron_ore</v>
      </c>
      <c r="Q10" s="2">
        <v>9</v>
      </c>
      <c r="R10" s="2">
        <v>0</v>
      </c>
      <c r="S10" s="2" t="s">
        <v>177</v>
      </c>
      <c r="T10" s="2" t="str">
        <f>C10</f>
        <v>IORE</v>
      </c>
      <c r="U10" s="2" t="s">
        <v>235</v>
      </c>
      <c r="V10" s="2" t="s">
        <v>277</v>
      </c>
      <c r="W10" s="2" t="s">
        <v>308</v>
      </c>
    </row>
    <row r="11" spans="1:23" x14ac:dyDescent="0.25">
      <c r="A11" s="2" t="s">
        <v>91</v>
      </c>
      <c r="B11" s="2" t="str">
        <f t="shared" si="0"/>
        <v>STEEL</v>
      </c>
      <c r="C11" s="2" t="s">
        <v>92</v>
      </c>
      <c r="D11" s="2">
        <v>9</v>
      </c>
      <c r="E11" s="2">
        <v>10</v>
      </c>
      <c r="F11" s="2" t="s">
        <v>35</v>
      </c>
      <c r="G11" s="2" t="s">
        <v>18</v>
      </c>
      <c r="H11" s="2">
        <v>1</v>
      </c>
      <c r="I11" s="2">
        <v>1</v>
      </c>
      <c r="J11" s="2" t="s">
        <v>18</v>
      </c>
      <c r="K11" s="2" t="s">
        <v>423</v>
      </c>
      <c r="L11" s="2" t="s">
        <v>437</v>
      </c>
      <c r="M11" s="2">
        <v>255</v>
      </c>
      <c r="N11" s="2">
        <v>126</v>
      </c>
      <c r="O11" s="10" t="b">
        <v>1</v>
      </c>
      <c r="P11" s="2" t="str">
        <f t="shared" si="1"/>
        <v>steel</v>
      </c>
      <c r="Q11" s="2">
        <v>10</v>
      </c>
      <c r="R11" s="2">
        <v>0</v>
      </c>
      <c r="S11" s="2" t="s">
        <v>158</v>
      </c>
      <c r="T11" s="2" t="str">
        <f>C11</f>
        <v>STEL</v>
      </c>
      <c r="U11" s="2" t="s">
        <v>241</v>
      </c>
      <c r="V11" s="2" t="s">
        <v>277</v>
      </c>
      <c r="W11" s="2" t="s">
        <v>323</v>
      </c>
    </row>
    <row r="12" spans="1:23" x14ac:dyDescent="0.25">
      <c r="A12" s="2" t="s">
        <v>50</v>
      </c>
      <c r="B12" s="2" t="str">
        <f t="shared" si="0"/>
        <v>MILK</v>
      </c>
      <c r="C12" s="2" t="s">
        <v>51</v>
      </c>
      <c r="D12" s="2">
        <v>10</v>
      </c>
      <c r="E12" s="2">
        <v>161</v>
      </c>
      <c r="F12" s="2" t="s">
        <v>35</v>
      </c>
      <c r="G12" s="2" t="s">
        <v>18</v>
      </c>
      <c r="H12" s="2">
        <v>1</v>
      </c>
      <c r="I12" s="2">
        <v>1</v>
      </c>
      <c r="J12" s="2" t="s">
        <v>438</v>
      </c>
      <c r="K12" s="2" t="s">
        <v>439</v>
      </c>
      <c r="L12" s="2">
        <v>0</v>
      </c>
      <c r="M12" s="2" t="s">
        <v>424</v>
      </c>
      <c r="N12" s="2" t="s">
        <v>440</v>
      </c>
      <c r="O12" s="10" t="b">
        <v>1</v>
      </c>
      <c r="P12" s="2" t="str">
        <f t="shared" si="1"/>
        <v>milk</v>
      </c>
      <c r="Q12" s="2">
        <v>13</v>
      </c>
      <c r="R12" s="2">
        <v>0</v>
      </c>
      <c r="S12" s="2" t="s">
        <v>159</v>
      </c>
      <c r="T12" s="2" t="str">
        <f>C12</f>
        <v>MILK</v>
      </c>
      <c r="U12" s="2" t="s">
        <v>230</v>
      </c>
      <c r="V12" s="2" t="s">
        <v>278</v>
      </c>
      <c r="W12" s="2" t="s">
        <v>308</v>
      </c>
    </row>
    <row r="13" spans="1:23" x14ac:dyDescent="0.25">
      <c r="A13" s="2" t="s">
        <v>130</v>
      </c>
      <c r="B13" s="2" t="str">
        <f t="shared" si="0"/>
        <v>FOOD</v>
      </c>
      <c r="C13" s="2" t="s">
        <v>131</v>
      </c>
      <c r="D13" s="2">
        <v>11</v>
      </c>
      <c r="E13" s="12" t="s">
        <v>520</v>
      </c>
      <c r="F13" s="2" t="s">
        <v>35</v>
      </c>
      <c r="G13" s="2" t="s">
        <v>18</v>
      </c>
      <c r="H13" s="2">
        <v>1</v>
      </c>
      <c r="I13" s="2">
        <v>1</v>
      </c>
      <c r="J13" s="2" t="s">
        <v>18</v>
      </c>
      <c r="K13" s="2" t="s">
        <v>521</v>
      </c>
      <c r="L13" s="2">
        <v>0</v>
      </c>
      <c r="M13" s="2" t="s">
        <v>522</v>
      </c>
      <c r="N13" s="2" t="s">
        <v>523</v>
      </c>
      <c r="O13" s="10" t="b">
        <v>1</v>
      </c>
      <c r="P13" s="2" t="str">
        <f t="shared" si="1"/>
        <v>food</v>
      </c>
      <c r="Q13" s="2">
        <v>12</v>
      </c>
      <c r="R13" s="2">
        <v>0</v>
      </c>
      <c r="S13" s="2" t="s">
        <v>160</v>
      </c>
      <c r="T13" s="2" t="str">
        <f>C13</f>
        <v>FOOD</v>
      </c>
      <c r="U13" s="2" t="s">
        <v>537</v>
      </c>
      <c r="V13" s="2" t="s">
        <v>536</v>
      </c>
      <c r="W13" s="2" t="s">
        <v>388</v>
      </c>
    </row>
    <row r="14" spans="1:23" x14ac:dyDescent="0.25">
      <c r="A14" s="2" t="s">
        <v>99</v>
      </c>
      <c r="B14" s="2" t="str">
        <f t="shared" si="0"/>
        <v>PAPER_PRODUCTS</v>
      </c>
      <c r="C14" s="2" t="s">
        <v>100</v>
      </c>
      <c r="D14" s="2">
        <v>12</v>
      </c>
      <c r="E14" s="2">
        <v>23</v>
      </c>
      <c r="F14" s="2" t="s">
        <v>35</v>
      </c>
      <c r="G14" s="2" t="s">
        <v>18</v>
      </c>
      <c r="H14" s="2">
        <v>1</v>
      </c>
      <c r="I14" s="2">
        <v>1</v>
      </c>
      <c r="J14" s="2" t="s">
        <v>18</v>
      </c>
      <c r="K14" s="2" t="s">
        <v>423</v>
      </c>
      <c r="L14" s="2" t="s">
        <v>441</v>
      </c>
      <c r="M14" s="2">
        <v>60</v>
      </c>
      <c r="N14" s="2" t="s">
        <v>442</v>
      </c>
      <c r="O14" s="10" t="b">
        <v>1</v>
      </c>
      <c r="P14" s="2" t="str">
        <f t="shared" si="1"/>
        <v>paper_products</v>
      </c>
      <c r="Q14" s="2">
        <v>5</v>
      </c>
      <c r="R14" s="2">
        <v>2</v>
      </c>
      <c r="S14" s="2" t="s">
        <v>178</v>
      </c>
      <c r="T14" s="2" t="str">
        <f>C14</f>
        <v>PAPR</v>
      </c>
      <c r="U14" s="2" t="s">
        <v>236</v>
      </c>
      <c r="V14" s="2" t="s">
        <v>277</v>
      </c>
      <c r="W14" s="2" t="s">
        <v>323</v>
      </c>
    </row>
    <row r="15" spans="1:23" x14ac:dyDescent="0.25">
      <c r="A15" s="2" t="s">
        <v>79</v>
      </c>
      <c r="B15" s="2" t="str">
        <f t="shared" si="0"/>
        <v>SEAFOOD</v>
      </c>
      <c r="C15" s="2" t="s">
        <v>80</v>
      </c>
      <c r="D15" s="2">
        <v>13</v>
      </c>
      <c r="E15" s="2">
        <v>149</v>
      </c>
      <c r="F15" s="2" t="s">
        <v>35</v>
      </c>
      <c r="G15" s="2" t="s">
        <v>18</v>
      </c>
      <c r="H15" s="2">
        <v>1</v>
      </c>
      <c r="I15" s="2">
        <v>1</v>
      </c>
      <c r="J15" s="2" t="s">
        <v>18</v>
      </c>
      <c r="K15" s="2" t="s">
        <v>443</v>
      </c>
      <c r="L15" s="2" t="s">
        <v>295</v>
      </c>
      <c r="M15" s="2" t="s">
        <v>444</v>
      </c>
      <c r="N15" s="2" t="s">
        <v>445</v>
      </c>
      <c r="O15" s="10" t="b">
        <v>1</v>
      </c>
      <c r="P15" s="2" t="str">
        <f t="shared" si="1"/>
        <v>seafood</v>
      </c>
      <c r="Q15" s="2">
        <v>15</v>
      </c>
      <c r="R15" s="2">
        <v>0</v>
      </c>
      <c r="S15" s="2" t="s">
        <v>161</v>
      </c>
      <c r="T15" s="2" t="s">
        <v>210</v>
      </c>
      <c r="U15" s="2" t="s">
        <v>242</v>
      </c>
      <c r="V15" s="2" t="s">
        <v>277</v>
      </c>
      <c r="W15" s="2" t="s">
        <v>308</v>
      </c>
    </row>
    <row r="16" spans="1:23" x14ac:dyDescent="0.25">
      <c r="A16" s="2" t="s">
        <v>44</v>
      </c>
      <c r="B16" s="2" t="str">
        <f t="shared" si="0"/>
        <v>WOOL</v>
      </c>
      <c r="C16" s="2" t="s">
        <v>45</v>
      </c>
      <c r="D16" s="2">
        <v>14</v>
      </c>
      <c r="E16" s="2">
        <v>135</v>
      </c>
      <c r="F16" s="2" t="s">
        <v>35</v>
      </c>
      <c r="G16" s="2" t="s">
        <v>18</v>
      </c>
      <c r="H16" s="2">
        <v>1</v>
      </c>
      <c r="I16" s="2">
        <v>1</v>
      </c>
      <c r="J16" s="2" t="s">
        <v>43</v>
      </c>
      <c r="K16" s="2" t="s">
        <v>446</v>
      </c>
      <c r="L16" s="2">
        <v>8</v>
      </c>
      <c r="M16" s="2">
        <v>90</v>
      </c>
      <c r="N16" s="2" t="s">
        <v>447</v>
      </c>
      <c r="O16" s="10" t="b">
        <v>1</v>
      </c>
      <c r="P16" s="2" t="str">
        <f t="shared" si="1"/>
        <v>wool</v>
      </c>
      <c r="Q16" s="2">
        <v>4</v>
      </c>
      <c r="R16" s="2">
        <v>1</v>
      </c>
      <c r="S16" s="2" t="s">
        <v>162</v>
      </c>
      <c r="T16" s="2" t="str">
        <f>C16</f>
        <v>WOOL</v>
      </c>
      <c r="U16" s="2" t="s">
        <v>253</v>
      </c>
      <c r="V16" s="2" t="s">
        <v>281</v>
      </c>
      <c r="W16" s="2" t="s">
        <v>308</v>
      </c>
    </row>
    <row r="17" spans="1:23" x14ac:dyDescent="0.25">
      <c r="A17" s="2" t="s">
        <v>118</v>
      </c>
      <c r="B17" s="2" t="str">
        <f t="shared" si="0"/>
        <v>PACKAGING</v>
      </c>
      <c r="C17" s="2" t="s">
        <v>119</v>
      </c>
      <c r="D17" s="2">
        <v>15</v>
      </c>
      <c r="E17" s="12" t="s">
        <v>440</v>
      </c>
      <c r="F17" s="2" t="s">
        <v>35</v>
      </c>
      <c r="G17" s="2" t="s">
        <v>18</v>
      </c>
      <c r="H17" s="2">
        <v>1</v>
      </c>
      <c r="I17" s="2">
        <v>1</v>
      </c>
      <c r="J17" s="2" t="s">
        <v>448</v>
      </c>
      <c r="K17" s="2" t="s">
        <v>449</v>
      </c>
      <c r="L17" s="2" t="s">
        <v>424</v>
      </c>
      <c r="M17" s="2" t="s">
        <v>450</v>
      </c>
      <c r="N17" s="2" t="s">
        <v>451</v>
      </c>
      <c r="O17" s="10" t="b">
        <v>1</v>
      </c>
      <c r="P17" s="2" t="str">
        <f t="shared" si="1"/>
        <v>packaging</v>
      </c>
      <c r="Q17" s="2">
        <v>10</v>
      </c>
      <c r="R17" s="2">
        <v>5</v>
      </c>
      <c r="S17" s="2" t="s">
        <v>163</v>
      </c>
      <c r="T17" s="2" t="str">
        <f>C17</f>
        <v>PACK</v>
      </c>
      <c r="U17" s="2" t="s">
        <v>538</v>
      </c>
      <c r="V17" s="2" t="s">
        <v>536</v>
      </c>
      <c r="W17" s="2" t="s">
        <v>388</v>
      </c>
    </row>
    <row r="18" spans="1:23" x14ac:dyDescent="0.25">
      <c r="A18" s="2" t="s">
        <v>70</v>
      </c>
      <c r="B18" s="2" t="str">
        <f t="shared" si="0"/>
        <v>SAND</v>
      </c>
      <c r="C18" s="2" t="s">
        <v>71</v>
      </c>
      <c r="D18" s="2">
        <v>16</v>
      </c>
      <c r="E18" s="2">
        <v>196</v>
      </c>
      <c r="F18" s="2" t="s">
        <v>35</v>
      </c>
      <c r="G18" s="2" t="s">
        <v>18</v>
      </c>
      <c r="H18" s="2">
        <v>1</v>
      </c>
      <c r="I18" s="2">
        <v>1</v>
      </c>
      <c r="J18" s="2" t="s">
        <v>18</v>
      </c>
      <c r="K18" s="2" t="s">
        <v>411</v>
      </c>
      <c r="L18" s="2">
        <v>30</v>
      </c>
      <c r="M18" s="2">
        <v>255</v>
      </c>
      <c r="N18" s="2" t="s">
        <v>452</v>
      </c>
      <c r="O18" s="10" t="b">
        <v>1</v>
      </c>
      <c r="P18" s="2" t="str">
        <f t="shared" si="1"/>
        <v>sand</v>
      </c>
      <c r="Q18" s="2">
        <v>0</v>
      </c>
      <c r="R18" s="2">
        <v>1</v>
      </c>
      <c r="S18" s="2" t="s">
        <v>164</v>
      </c>
      <c r="T18" s="2" t="str">
        <f>C18</f>
        <v>SAND</v>
      </c>
      <c r="U18" s="2" t="s">
        <v>254</v>
      </c>
      <c r="V18" s="2" t="s">
        <v>277</v>
      </c>
      <c r="W18" s="2" t="s">
        <v>308</v>
      </c>
    </row>
    <row r="19" spans="1:23" x14ac:dyDescent="0.25">
      <c r="A19" s="2" t="s">
        <v>101</v>
      </c>
      <c r="B19" s="2" t="str">
        <f t="shared" si="0"/>
        <v>WOOD_PRODUCTS</v>
      </c>
      <c r="C19" s="2" t="s">
        <v>102</v>
      </c>
      <c r="D19" s="2">
        <v>17</v>
      </c>
      <c r="E19" s="2">
        <v>58</v>
      </c>
      <c r="F19" s="2" t="s">
        <v>35</v>
      </c>
      <c r="G19" s="2" t="s">
        <v>18</v>
      </c>
      <c r="H19" s="2">
        <v>1</v>
      </c>
      <c r="I19" s="2">
        <v>1</v>
      </c>
      <c r="J19" s="2" t="s">
        <v>18</v>
      </c>
      <c r="K19" s="2" t="s">
        <v>453</v>
      </c>
      <c r="L19" s="2" t="s">
        <v>444</v>
      </c>
      <c r="M19" s="2">
        <v>255</v>
      </c>
      <c r="N19" s="2" t="s">
        <v>454</v>
      </c>
      <c r="O19" s="10" t="b">
        <v>1</v>
      </c>
      <c r="P19" s="2" t="str">
        <f t="shared" si="1"/>
        <v>wood_products</v>
      </c>
      <c r="Q19" s="2">
        <v>6</v>
      </c>
      <c r="R19" s="2">
        <v>1</v>
      </c>
      <c r="S19" s="2" t="s">
        <v>179</v>
      </c>
      <c r="T19" s="2" t="str">
        <f>C19</f>
        <v>WDPR</v>
      </c>
      <c r="U19" s="2" t="s">
        <v>243</v>
      </c>
      <c r="V19" s="2" t="s">
        <v>277</v>
      </c>
      <c r="W19" s="2" t="s">
        <v>323</v>
      </c>
    </row>
    <row r="20" spans="1:23" x14ac:dyDescent="0.25">
      <c r="A20" s="2" t="s">
        <v>31</v>
      </c>
      <c r="B20" s="2" t="str">
        <f t="shared" si="0"/>
        <v>PARCELS</v>
      </c>
      <c r="C20" s="2" t="s">
        <v>32</v>
      </c>
      <c r="D20" s="2">
        <v>18</v>
      </c>
      <c r="E20" s="2">
        <v>197</v>
      </c>
      <c r="F20" s="2" t="s">
        <v>28</v>
      </c>
      <c r="G20" s="2" t="s">
        <v>18</v>
      </c>
      <c r="H20" s="2">
        <v>0</v>
      </c>
      <c r="I20" s="2">
        <v>2</v>
      </c>
      <c r="J20" s="2" t="s">
        <v>455</v>
      </c>
      <c r="K20" s="2" t="s">
        <v>456</v>
      </c>
      <c r="L20" s="2">
        <v>6</v>
      </c>
      <c r="M20" s="2">
        <v>24</v>
      </c>
      <c r="N20" s="2">
        <v>150</v>
      </c>
      <c r="O20" s="10" t="b">
        <v>1</v>
      </c>
      <c r="P20" s="2" t="str">
        <f t="shared" si="1"/>
        <v>parcels</v>
      </c>
      <c r="Q20" s="2">
        <v>7</v>
      </c>
      <c r="R20" s="2">
        <v>1</v>
      </c>
      <c r="S20" s="2" t="s">
        <v>165</v>
      </c>
      <c r="T20" s="2" t="s">
        <v>219</v>
      </c>
      <c r="U20" s="2" t="s">
        <v>255</v>
      </c>
      <c r="V20" s="2" t="s">
        <v>255</v>
      </c>
      <c r="W20" s="2" t="s">
        <v>461</v>
      </c>
    </row>
    <row r="21" spans="1:23" x14ac:dyDescent="0.25">
      <c r="A21" s="2" t="s">
        <v>68</v>
      </c>
      <c r="B21" s="2" t="str">
        <f t="shared" si="0"/>
        <v>AGGREGATES</v>
      </c>
      <c r="C21" s="2" t="s">
        <v>69</v>
      </c>
      <c r="D21" s="2">
        <v>19</v>
      </c>
      <c r="E21" s="12" t="s">
        <v>464</v>
      </c>
      <c r="F21" s="2" t="s">
        <v>35</v>
      </c>
      <c r="G21" s="2" t="s">
        <v>18</v>
      </c>
      <c r="H21" s="2">
        <v>1</v>
      </c>
      <c r="I21" s="2">
        <v>1</v>
      </c>
      <c r="J21" s="2" t="s">
        <v>18</v>
      </c>
      <c r="K21" s="2" t="s">
        <v>411</v>
      </c>
      <c r="L21" s="2">
        <v>30</v>
      </c>
      <c r="M21" s="2">
        <v>255</v>
      </c>
      <c r="N21" s="2" t="s">
        <v>465</v>
      </c>
      <c r="O21" s="10" t="b">
        <v>1</v>
      </c>
      <c r="P21" s="2" t="str">
        <f t="shared" si="1"/>
        <v>aggregates</v>
      </c>
      <c r="Q21" s="2">
        <v>5</v>
      </c>
      <c r="R21" s="2">
        <v>1</v>
      </c>
      <c r="S21" s="2" t="s">
        <v>166</v>
      </c>
      <c r="T21" s="2" t="s">
        <v>211</v>
      </c>
      <c r="U21" s="2" t="s">
        <v>244</v>
      </c>
      <c r="V21" s="2" t="s">
        <v>277</v>
      </c>
      <c r="W21" s="2" t="s">
        <v>308</v>
      </c>
    </row>
    <row r="22" spans="1:23" x14ac:dyDescent="0.25">
      <c r="A22" s="2" t="s">
        <v>48</v>
      </c>
      <c r="B22" s="2" t="str">
        <f t="shared" si="0"/>
        <v>FRUIT</v>
      </c>
      <c r="C22" s="2" t="s">
        <v>49</v>
      </c>
      <c r="D22" s="2">
        <v>20</v>
      </c>
      <c r="E22" s="2">
        <v>181</v>
      </c>
      <c r="F22" s="2" t="s">
        <v>35</v>
      </c>
      <c r="G22" s="2" t="s">
        <v>18</v>
      </c>
      <c r="H22" s="2">
        <v>1</v>
      </c>
      <c r="I22" s="2">
        <v>1</v>
      </c>
      <c r="J22" s="2" t="s">
        <v>18</v>
      </c>
      <c r="K22" s="2" t="s">
        <v>466</v>
      </c>
      <c r="L22" s="2">
        <v>0</v>
      </c>
      <c r="M22" s="2">
        <v>26</v>
      </c>
      <c r="N22" s="2" t="s">
        <v>454</v>
      </c>
      <c r="O22" s="10" t="b">
        <v>1</v>
      </c>
      <c r="P22" s="2" t="str">
        <f t="shared" si="1"/>
        <v>fruit</v>
      </c>
      <c r="Q22" s="2">
        <v>14</v>
      </c>
      <c r="R22" s="2">
        <v>0</v>
      </c>
      <c r="S22" s="2" t="s">
        <v>408</v>
      </c>
      <c r="T22" s="2" t="s">
        <v>212</v>
      </c>
      <c r="U22" s="2" t="s">
        <v>256</v>
      </c>
      <c r="V22" s="2" t="s">
        <v>277</v>
      </c>
      <c r="W22" s="2" t="s">
        <v>308</v>
      </c>
    </row>
    <row r="23" spans="1:23" x14ac:dyDescent="0.25">
      <c r="A23" s="2" t="s">
        <v>136</v>
      </c>
      <c r="B23" s="2" t="str">
        <f t="shared" si="0"/>
        <v>CONSTRUCTION_MATERIALS</v>
      </c>
      <c r="C23" s="2" t="s">
        <v>137</v>
      </c>
      <c r="D23" s="2">
        <v>21</v>
      </c>
      <c r="E23" s="12" t="s">
        <v>467</v>
      </c>
      <c r="F23" s="2" t="s">
        <v>35</v>
      </c>
      <c r="G23" s="2" t="s">
        <v>18</v>
      </c>
      <c r="H23" s="2">
        <v>1</v>
      </c>
      <c r="I23" s="2">
        <v>1</v>
      </c>
      <c r="J23" s="2" t="s">
        <v>18</v>
      </c>
      <c r="K23" s="2" t="s">
        <v>468</v>
      </c>
      <c r="L23" s="2">
        <v>12</v>
      </c>
      <c r="M23" s="2">
        <v>255</v>
      </c>
      <c r="N23" s="2" t="s">
        <v>469</v>
      </c>
      <c r="O23" s="10" t="b">
        <v>1</v>
      </c>
      <c r="P23" s="2" t="str">
        <f t="shared" si="1"/>
        <v>construction_materials</v>
      </c>
      <c r="Q23" s="2">
        <v>1</v>
      </c>
      <c r="R23" s="2">
        <v>1</v>
      </c>
      <c r="S23" s="2" t="s">
        <v>180</v>
      </c>
      <c r="T23" s="2" t="s">
        <v>213</v>
      </c>
      <c r="U23" s="2" t="s">
        <v>539</v>
      </c>
      <c r="V23" s="2" t="s">
        <v>536</v>
      </c>
      <c r="W23" s="2" t="s">
        <v>388</v>
      </c>
    </row>
    <row r="24" spans="1:23" x14ac:dyDescent="0.25">
      <c r="A24" s="2" t="s">
        <v>132</v>
      </c>
      <c r="B24" s="2" t="str">
        <f t="shared" si="0"/>
        <v>ALCOHOL</v>
      </c>
      <c r="C24" s="2" t="s">
        <v>133</v>
      </c>
      <c r="D24" s="2">
        <v>22</v>
      </c>
      <c r="E24" s="12" t="s">
        <v>470</v>
      </c>
      <c r="F24" s="2" t="s">
        <v>35</v>
      </c>
      <c r="G24" s="2" t="s">
        <v>18</v>
      </c>
      <c r="H24" s="2">
        <v>1</v>
      </c>
      <c r="I24" s="2">
        <v>1</v>
      </c>
      <c r="J24" s="2" t="s">
        <v>438</v>
      </c>
      <c r="K24" s="2" t="s">
        <v>471</v>
      </c>
      <c r="L24" s="2" t="s">
        <v>472</v>
      </c>
      <c r="M24" s="2" t="s">
        <v>473</v>
      </c>
      <c r="N24" s="2" t="s">
        <v>430</v>
      </c>
      <c r="O24" s="10" t="b">
        <v>1</v>
      </c>
      <c r="P24" s="2" t="str">
        <f t="shared" si="1"/>
        <v>alcohol</v>
      </c>
      <c r="Q24" s="2">
        <v>7</v>
      </c>
      <c r="R24" s="2">
        <v>0</v>
      </c>
      <c r="S24" s="2" t="s">
        <v>458</v>
      </c>
      <c r="T24" s="2" t="s">
        <v>214</v>
      </c>
      <c r="U24" s="2" t="s">
        <v>540</v>
      </c>
      <c r="V24" s="2" t="s">
        <v>536</v>
      </c>
      <c r="W24" s="2" t="s">
        <v>388</v>
      </c>
    </row>
    <row r="25" spans="1:23" x14ac:dyDescent="0.25">
      <c r="A25" s="2" t="s">
        <v>138</v>
      </c>
      <c r="B25" s="2" t="str">
        <f t="shared" si="0"/>
        <v>FARM_SUPPLIES</v>
      </c>
      <c r="C25" s="2" t="s">
        <v>139</v>
      </c>
      <c r="D25" s="2">
        <v>23</v>
      </c>
      <c r="E25" s="12" t="s">
        <v>474</v>
      </c>
      <c r="F25" s="2" t="s">
        <v>35</v>
      </c>
      <c r="G25" s="2" t="s">
        <v>18</v>
      </c>
      <c r="H25" s="2">
        <v>1</v>
      </c>
      <c r="I25" s="2">
        <v>1</v>
      </c>
      <c r="J25" s="2" t="s">
        <v>448</v>
      </c>
      <c r="K25" s="2" t="s">
        <v>449</v>
      </c>
      <c r="L25" s="2" t="s">
        <v>294</v>
      </c>
      <c r="M25" s="2" t="s">
        <v>475</v>
      </c>
      <c r="N25" s="2" t="s">
        <v>476</v>
      </c>
      <c r="O25" s="10" t="b">
        <v>1</v>
      </c>
      <c r="P25" s="2" t="str">
        <f t="shared" si="1"/>
        <v>farm_supplies</v>
      </c>
      <c r="Q25" s="2">
        <v>8</v>
      </c>
      <c r="R25" s="2">
        <v>1</v>
      </c>
      <c r="S25" s="2" t="s">
        <v>181</v>
      </c>
      <c r="T25" s="2" t="s">
        <v>215</v>
      </c>
      <c r="U25" s="2" t="s">
        <v>541</v>
      </c>
      <c r="V25" s="2" t="s">
        <v>536</v>
      </c>
      <c r="W25" s="2" t="s">
        <v>388</v>
      </c>
    </row>
    <row r="26" spans="1:23" x14ac:dyDescent="0.25">
      <c r="A26" s="2" t="s">
        <v>81</v>
      </c>
      <c r="B26" s="2" t="str">
        <f t="shared" si="0"/>
        <v>CEMENT</v>
      </c>
      <c r="C26" s="2" t="s">
        <v>82</v>
      </c>
      <c r="D26" s="2">
        <v>24</v>
      </c>
      <c r="E26" s="12" t="s">
        <v>445</v>
      </c>
      <c r="F26" s="2" t="s">
        <v>35</v>
      </c>
      <c r="G26" s="2" t="s">
        <v>18</v>
      </c>
      <c r="H26" s="2">
        <v>1</v>
      </c>
      <c r="I26" s="2">
        <v>1</v>
      </c>
      <c r="J26" s="2" t="s">
        <v>18</v>
      </c>
      <c r="K26" s="2" t="s">
        <v>477</v>
      </c>
      <c r="L26" s="2" t="s">
        <v>444</v>
      </c>
      <c r="M26" s="2">
        <v>255</v>
      </c>
      <c r="N26" s="2" t="s">
        <v>478</v>
      </c>
      <c r="O26" s="10" t="b">
        <v>1</v>
      </c>
      <c r="P26" s="2" t="str">
        <f t="shared" si="1"/>
        <v>cement</v>
      </c>
      <c r="Q26" s="2">
        <v>8</v>
      </c>
      <c r="R26" s="2">
        <v>3</v>
      </c>
      <c r="S26" s="2" t="s">
        <v>167</v>
      </c>
      <c r="T26" s="2" t="str">
        <f>C26</f>
        <v>CMNT</v>
      </c>
      <c r="U26" s="2" t="s">
        <v>245</v>
      </c>
      <c r="V26" s="2" t="s">
        <v>277</v>
      </c>
      <c r="W26" s="2" t="s">
        <v>323</v>
      </c>
    </row>
    <row r="27" spans="1:23" x14ac:dyDescent="0.25">
      <c r="A27" s="2" t="s">
        <v>87</v>
      </c>
      <c r="B27" s="2" t="str">
        <f t="shared" si="0"/>
        <v>GLASS_PRODUCTS</v>
      </c>
      <c r="C27" s="2" t="s">
        <v>88</v>
      </c>
      <c r="D27" s="2">
        <v>25</v>
      </c>
      <c r="E27" s="12" t="s">
        <v>479</v>
      </c>
      <c r="F27" s="2" t="s">
        <v>35</v>
      </c>
      <c r="G27" s="2" t="s">
        <v>18</v>
      </c>
      <c r="H27" s="2">
        <v>1</v>
      </c>
      <c r="I27" s="2">
        <v>1</v>
      </c>
      <c r="J27" s="2" t="s">
        <v>18</v>
      </c>
      <c r="K27" s="2" t="s">
        <v>423</v>
      </c>
      <c r="L27" s="2">
        <v>12</v>
      </c>
      <c r="M27" s="2" t="s">
        <v>480</v>
      </c>
      <c r="N27" s="2" t="s">
        <v>481</v>
      </c>
      <c r="O27" s="10" t="b">
        <v>1</v>
      </c>
      <c r="P27" s="2" t="str">
        <f t="shared" si="1"/>
        <v>glass_products</v>
      </c>
      <c r="Q27" s="2">
        <v>2</v>
      </c>
      <c r="R27" s="2">
        <v>1</v>
      </c>
      <c r="S27" s="2" t="s">
        <v>182</v>
      </c>
      <c r="T27" s="2" t="str">
        <f>C27</f>
        <v>GLAS</v>
      </c>
      <c r="U27" s="2" t="s">
        <v>237</v>
      </c>
      <c r="V27" s="2" t="s">
        <v>277</v>
      </c>
      <c r="W27" s="2" t="s">
        <v>323</v>
      </c>
    </row>
    <row r="28" spans="1:23" x14ac:dyDescent="0.25">
      <c r="A28" s="2" t="s">
        <v>410</v>
      </c>
      <c r="B28" s="2" t="str">
        <f t="shared" si="0"/>
        <v>ALUMINIUM</v>
      </c>
      <c r="C28" s="2" t="s">
        <v>93</v>
      </c>
      <c r="D28" s="2">
        <v>26</v>
      </c>
      <c r="E28" s="12" t="s">
        <v>482</v>
      </c>
      <c r="F28" s="2" t="s">
        <v>35</v>
      </c>
      <c r="G28" s="2" t="s">
        <v>18</v>
      </c>
      <c r="H28" s="2">
        <v>1</v>
      </c>
      <c r="I28" s="2">
        <v>1</v>
      </c>
      <c r="J28" s="2" t="s">
        <v>18</v>
      </c>
      <c r="K28" s="2" t="s">
        <v>423</v>
      </c>
      <c r="L28" s="2">
        <v>7</v>
      </c>
      <c r="M28" s="2">
        <v>255</v>
      </c>
      <c r="N28" s="2" t="s">
        <v>483</v>
      </c>
      <c r="O28" s="10" t="b">
        <v>1</v>
      </c>
      <c r="P28" s="2" t="str">
        <f t="shared" si="1"/>
        <v>aluminium</v>
      </c>
      <c r="Q28" s="2">
        <v>15</v>
      </c>
      <c r="R28" s="2">
        <v>3</v>
      </c>
      <c r="S28" s="2" t="s">
        <v>183</v>
      </c>
      <c r="T28" s="2" t="str">
        <f>C28</f>
        <v>ALUM</v>
      </c>
      <c r="U28" s="2" t="s">
        <v>246</v>
      </c>
      <c r="V28" s="2" t="s">
        <v>277</v>
      </c>
      <c r="W28" s="2" t="s">
        <v>323</v>
      </c>
    </row>
    <row r="29" spans="1:23" x14ac:dyDescent="0.25">
      <c r="A29" s="2" t="s">
        <v>85</v>
      </c>
      <c r="B29" s="2" t="str">
        <f t="shared" si="0"/>
        <v>PETROLEUM_FUELS</v>
      </c>
      <c r="C29" s="2" t="s">
        <v>86</v>
      </c>
      <c r="D29" s="2">
        <v>27</v>
      </c>
      <c r="E29" s="12" t="s">
        <v>484</v>
      </c>
      <c r="F29" s="2" t="s">
        <v>35</v>
      </c>
      <c r="G29" s="2" t="s">
        <v>18</v>
      </c>
      <c r="H29" s="2">
        <v>1</v>
      </c>
      <c r="I29" s="2">
        <v>1</v>
      </c>
      <c r="J29" s="2" t="s">
        <v>485</v>
      </c>
      <c r="K29" s="2" t="s">
        <v>421</v>
      </c>
      <c r="L29" s="2">
        <v>18</v>
      </c>
      <c r="M29" s="2">
        <v>255</v>
      </c>
      <c r="N29" s="2" t="s">
        <v>440</v>
      </c>
      <c r="O29" s="10" t="b">
        <v>1</v>
      </c>
      <c r="P29" s="2" t="str">
        <f t="shared" si="1"/>
        <v>petroleum_fuels</v>
      </c>
      <c r="Q29" s="2">
        <v>12</v>
      </c>
      <c r="R29" s="2">
        <v>1</v>
      </c>
      <c r="S29" s="2" t="s">
        <v>184</v>
      </c>
      <c r="T29" s="2" t="s">
        <v>86</v>
      </c>
      <c r="U29" s="2" t="s">
        <v>231</v>
      </c>
      <c r="V29" s="2" t="s">
        <v>277</v>
      </c>
      <c r="W29" s="2" t="s">
        <v>323</v>
      </c>
    </row>
    <row r="30" spans="1:23" x14ac:dyDescent="0.25">
      <c r="A30" s="2" t="s">
        <v>37</v>
      </c>
      <c r="B30" s="2" t="str">
        <f t="shared" si="0"/>
        <v>RECYCLABLES</v>
      </c>
      <c r="C30" s="2" t="s">
        <v>38</v>
      </c>
      <c r="D30" s="2">
        <v>28</v>
      </c>
      <c r="E30" s="12" t="s">
        <v>486</v>
      </c>
      <c r="F30" s="2" t="s">
        <v>35</v>
      </c>
      <c r="G30" s="2" t="s">
        <v>18</v>
      </c>
      <c r="H30" s="2">
        <v>1</v>
      </c>
      <c r="I30" s="2">
        <v>1</v>
      </c>
      <c r="J30" s="2" t="s">
        <v>18</v>
      </c>
      <c r="K30" s="2" t="s">
        <v>453</v>
      </c>
      <c r="L30" s="2" t="s">
        <v>428</v>
      </c>
      <c r="M30" s="2" t="s">
        <v>487</v>
      </c>
      <c r="N30" s="2" t="s">
        <v>488</v>
      </c>
      <c r="O30" s="10" t="b">
        <v>1</v>
      </c>
      <c r="P30" s="2" t="str">
        <f t="shared" si="1"/>
        <v>recyclables</v>
      </c>
      <c r="Q30" s="2">
        <v>10</v>
      </c>
      <c r="R30" s="2">
        <v>3</v>
      </c>
      <c r="S30" s="2" t="s">
        <v>168</v>
      </c>
      <c r="T30" s="2" t="str">
        <f>C30</f>
        <v>RCYC</v>
      </c>
      <c r="U30" s="2" t="s">
        <v>247</v>
      </c>
      <c r="V30" s="2" t="s">
        <v>277</v>
      </c>
      <c r="W30" s="2" t="s">
        <v>461</v>
      </c>
    </row>
    <row r="31" spans="1:23" x14ac:dyDescent="0.25">
      <c r="A31" s="2" t="s">
        <v>41</v>
      </c>
      <c r="B31" s="2" t="str">
        <f t="shared" si="0"/>
        <v>PLANT_FIBRES</v>
      </c>
      <c r="C31" s="2" t="s">
        <v>42</v>
      </c>
      <c r="D31" s="2">
        <v>29</v>
      </c>
      <c r="E31" s="12" t="s">
        <v>428</v>
      </c>
      <c r="F31" s="2" t="s">
        <v>35</v>
      </c>
      <c r="G31" s="2" t="s">
        <v>18</v>
      </c>
      <c r="H31" s="2">
        <v>1</v>
      </c>
      <c r="I31" s="2">
        <v>1</v>
      </c>
      <c r="J31" s="2" t="s">
        <v>43</v>
      </c>
      <c r="K31" s="2" t="s">
        <v>453</v>
      </c>
      <c r="L31" s="2">
        <v>10</v>
      </c>
      <c r="M31" s="2">
        <v>36</v>
      </c>
      <c r="N31" s="2" t="s">
        <v>489</v>
      </c>
      <c r="O31" s="10" t="b">
        <v>1</v>
      </c>
      <c r="P31" s="2" t="str">
        <f t="shared" si="1"/>
        <v>plant_fibres</v>
      </c>
      <c r="Q31" s="2">
        <v>3</v>
      </c>
      <c r="R31" s="2">
        <v>1</v>
      </c>
      <c r="S31" s="2" t="s">
        <v>185</v>
      </c>
      <c r="T31" s="2" t="s">
        <v>216</v>
      </c>
      <c r="U31" s="2" t="s">
        <v>257</v>
      </c>
      <c r="V31" s="2" t="s">
        <v>281</v>
      </c>
      <c r="W31" s="2" t="s">
        <v>308</v>
      </c>
    </row>
    <row r="32" spans="1:23" x14ac:dyDescent="0.25">
      <c r="A32" s="2" t="s">
        <v>64</v>
      </c>
      <c r="B32" s="2" t="str">
        <f t="shared" si="0"/>
        <v>COPPER_ORE</v>
      </c>
      <c r="C32" s="2" t="s">
        <v>65</v>
      </c>
      <c r="D32" s="2">
        <v>31</v>
      </c>
      <c r="E32" s="12" t="s">
        <v>490</v>
      </c>
      <c r="F32" s="2" t="s">
        <v>35</v>
      </c>
      <c r="G32" s="2" t="s">
        <v>18</v>
      </c>
      <c r="H32" s="2">
        <v>1</v>
      </c>
      <c r="I32" s="2">
        <v>1</v>
      </c>
      <c r="J32" s="2" t="s">
        <v>18</v>
      </c>
      <c r="K32" s="2" t="s">
        <v>411</v>
      </c>
      <c r="L32" s="2">
        <v>30</v>
      </c>
      <c r="M32" s="2">
        <v>255</v>
      </c>
      <c r="N32" s="2" t="s">
        <v>491</v>
      </c>
      <c r="O32" s="10" t="b">
        <v>1</v>
      </c>
      <c r="P32" s="2" t="str">
        <f t="shared" si="1"/>
        <v>copper_ore</v>
      </c>
      <c r="Q32" s="2">
        <v>1</v>
      </c>
      <c r="R32" s="2">
        <v>2</v>
      </c>
      <c r="S32" s="2" t="s">
        <v>186</v>
      </c>
      <c r="T32" s="2" t="str">
        <f>C32</f>
        <v>CORE</v>
      </c>
      <c r="U32" s="2" t="s">
        <v>238</v>
      </c>
      <c r="V32" s="2" t="s">
        <v>277</v>
      </c>
      <c r="W32" s="2" t="s">
        <v>308</v>
      </c>
    </row>
    <row r="33" spans="1:23" x14ac:dyDescent="0.25">
      <c r="A33" s="2" t="s">
        <v>33</v>
      </c>
      <c r="B33" s="2" t="str">
        <f t="shared" si="0"/>
        <v>WASTE</v>
      </c>
      <c r="C33" s="2" t="s">
        <v>34</v>
      </c>
      <c r="D33" s="2">
        <v>32</v>
      </c>
      <c r="E33" s="2">
        <v>4</v>
      </c>
      <c r="F33" s="2" t="s">
        <v>35</v>
      </c>
      <c r="G33" s="2" t="s">
        <v>18</v>
      </c>
      <c r="H33" s="2">
        <v>0</v>
      </c>
      <c r="I33" s="2">
        <v>1</v>
      </c>
      <c r="J33" s="2" t="s">
        <v>18</v>
      </c>
      <c r="K33" s="2" t="s">
        <v>411</v>
      </c>
      <c r="L33" s="2" t="s">
        <v>416</v>
      </c>
      <c r="M33" s="2" t="s">
        <v>296</v>
      </c>
      <c r="N33" s="2" t="s">
        <v>422</v>
      </c>
      <c r="O33" s="10" t="b">
        <v>1</v>
      </c>
      <c r="P33" s="2" t="str">
        <f t="shared" si="1"/>
        <v>waste</v>
      </c>
      <c r="Q33" s="2">
        <v>12</v>
      </c>
      <c r="R33" s="2">
        <v>5</v>
      </c>
      <c r="S33" s="2" t="s">
        <v>169</v>
      </c>
      <c r="T33" s="2" t="str">
        <f>C33</f>
        <v>WSTE</v>
      </c>
      <c r="U33" s="2" t="s">
        <v>248</v>
      </c>
      <c r="V33" s="2" t="s">
        <v>277</v>
      </c>
      <c r="W33" s="2" t="s">
        <v>461</v>
      </c>
    </row>
    <row r="34" spans="1:23" x14ac:dyDescent="0.25">
      <c r="A34" s="2" t="s">
        <v>94</v>
      </c>
      <c r="B34" s="2" t="str">
        <f t="shared" ref="B34:B64" si="2">UPPER(A34)</f>
        <v>COPPER</v>
      </c>
      <c r="C34" s="2" t="s">
        <v>95</v>
      </c>
      <c r="D34" s="2">
        <v>33</v>
      </c>
      <c r="E34" s="12" t="s">
        <v>492</v>
      </c>
      <c r="F34" s="2" t="s">
        <v>35</v>
      </c>
      <c r="G34" s="2" t="s">
        <v>18</v>
      </c>
      <c r="H34" s="2">
        <v>1</v>
      </c>
      <c r="I34" s="2">
        <v>1</v>
      </c>
      <c r="J34" s="2" t="s">
        <v>18</v>
      </c>
      <c r="K34" s="2" t="s">
        <v>423</v>
      </c>
      <c r="L34" s="2">
        <v>7</v>
      </c>
      <c r="M34" s="2">
        <v>255</v>
      </c>
      <c r="N34" s="2" t="s">
        <v>493</v>
      </c>
      <c r="O34" s="10" t="b">
        <v>1</v>
      </c>
      <c r="P34" s="2" t="str">
        <f t="shared" ref="P34:P64" si="3">A34</f>
        <v>copper</v>
      </c>
      <c r="Q34" s="2">
        <v>8</v>
      </c>
      <c r="R34" s="2">
        <v>2</v>
      </c>
      <c r="S34" s="2" t="s">
        <v>170</v>
      </c>
      <c r="T34" s="2" t="s">
        <v>217</v>
      </c>
      <c r="U34" s="2" t="s">
        <v>249</v>
      </c>
      <c r="V34" s="2" t="s">
        <v>277</v>
      </c>
      <c r="W34" s="2" t="s">
        <v>323</v>
      </c>
    </row>
    <row r="35" spans="1:23" hidden="1" x14ac:dyDescent="0.25">
      <c r="A35" s="2" t="s">
        <v>76</v>
      </c>
      <c r="B35" s="2" t="str">
        <f t="shared" si="2"/>
        <v>URANIUM</v>
      </c>
      <c r="C35" s="2" t="s">
        <v>77</v>
      </c>
      <c r="E35" s="2">
        <v>17</v>
      </c>
      <c r="F35" s="2" t="s">
        <v>35</v>
      </c>
      <c r="G35" s="2" t="s">
        <v>18</v>
      </c>
      <c r="H35" s="2">
        <v>1</v>
      </c>
      <c r="I35" s="2">
        <v>1</v>
      </c>
      <c r="J35" s="2" t="s">
        <v>18</v>
      </c>
      <c r="K35" s="2" t="s">
        <v>36</v>
      </c>
      <c r="L35" s="2">
        <v>30</v>
      </c>
      <c r="M35" s="2">
        <v>255</v>
      </c>
      <c r="N35" s="2">
        <v>83</v>
      </c>
      <c r="O35" s="10" t="s">
        <v>320</v>
      </c>
      <c r="P35" s="2" t="str">
        <f t="shared" si="3"/>
        <v>uranium</v>
      </c>
      <c r="Q35" s="2">
        <v>13</v>
      </c>
      <c r="R35" s="2">
        <v>5</v>
      </c>
      <c r="S35" s="2" t="s">
        <v>187</v>
      </c>
      <c r="T35" s="2" t="str">
        <f>C35</f>
        <v>URAN</v>
      </c>
      <c r="U35" s="2" t="s">
        <v>239</v>
      </c>
      <c r="V35" s="2" t="s">
        <v>277</v>
      </c>
      <c r="W35" s="2" t="s">
        <v>308</v>
      </c>
    </row>
    <row r="36" spans="1:23" x14ac:dyDescent="0.25">
      <c r="A36" s="2" t="s">
        <v>62</v>
      </c>
      <c r="B36" s="2" t="str">
        <f t="shared" si="2"/>
        <v>BAUXITE</v>
      </c>
      <c r="C36" s="2" t="s">
        <v>63</v>
      </c>
      <c r="D36" s="2">
        <v>36</v>
      </c>
      <c r="E36" s="12" t="s">
        <v>494</v>
      </c>
      <c r="F36" s="2" t="s">
        <v>35</v>
      </c>
      <c r="G36" s="2" t="s">
        <v>18</v>
      </c>
      <c r="H36" s="2">
        <v>1</v>
      </c>
      <c r="I36" s="2">
        <v>1</v>
      </c>
      <c r="J36" s="2" t="s">
        <v>18</v>
      </c>
      <c r="K36" s="2" t="s">
        <v>411</v>
      </c>
      <c r="L36" s="2">
        <v>30</v>
      </c>
      <c r="M36" s="2">
        <v>255</v>
      </c>
      <c r="N36" s="2" t="s">
        <v>495</v>
      </c>
      <c r="O36" s="10" t="b">
        <v>1</v>
      </c>
      <c r="P36" s="2" t="str">
        <f t="shared" si="3"/>
        <v>bauxite</v>
      </c>
      <c r="Q36" s="2">
        <v>13</v>
      </c>
      <c r="R36" s="2">
        <v>1</v>
      </c>
      <c r="S36" s="2" t="s">
        <v>172</v>
      </c>
      <c r="T36" s="2" t="str">
        <f>C36</f>
        <v>AORE</v>
      </c>
      <c r="U36" s="2" t="s">
        <v>250</v>
      </c>
      <c r="V36" s="2" t="s">
        <v>277</v>
      </c>
      <c r="W36" s="2" t="s">
        <v>308</v>
      </c>
    </row>
    <row r="37" spans="1:23" x14ac:dyDescent="0.25">
      <c r="A37" s="2" t="s">
        <v>188</v>
      </c>
      <c r="B37" s="2" t="str">
        <f t="shared" si="2"/>
        <v>MINERAL_ORE</v>
      </c>
      <c r="C37" s="2" t="s">
        <v>78</v>
      </c>
      <c r="D37" s="2">
        <v>38</v>
      </c>
      <c r="E37" s="12" t="s">
        <v>496</v>
      </c>
      <c r="F37" s="2" t="s">
        <v>35</v>
      </c>
      <c r="G37" s="2" t="s">
        <v>18</v>
      </c>
      <c r="H37" s="2">
        <v>1</v>
      </c>
      <c r="I37" s="2">
        <v>1</v>
      </c>
      <c r="J37" s="2" t="s">
        <v>18</v>
      </c>
      <c r="K37" s="2" t="s">
        <v>411</v>
      </c>
      <c r="L37" s="2">
        <v>30</v>
      </c>
      <c r="M37" s="2">
        <v>255</v>
      </c>
      <c r="N37" s="2" t="s">
        <v>497</v>
      </c>
      <c r="O37" s="10" t="b">
        <v>1</v>
      </c>
      <c r="P37" s="2" t="str">
        <f t="shared" si="3"/>
        <v>mineral_ore</v>
      </c>
      <c r="Q37" s="2">
        <v>7</v>
      </c>
      <c r="R37" s="2">
        <v>2</v>
      </c>
      <c r="S37" s="2" t="s">
        <v>189</v>
      </c>
      <c r="T37" s="2" t="s">
        <v>220</v>
      </c>
      <c r="U37" s="2" t="s">
        <v>240</v>
      </c>
      <c r="V37" s="2" t="s">
        <v>277</v>
      </c>
      <c r="W37" s="2" t="s">
        <v>308</v>
      </c>
    </row>
    <row r="38" spans="1:23" x14ac:dyDescent="0.25">
      <c r="A38" s="2" t="s">
        <v>74</v>
      </c>
      <c r="B38" s="2" t="str">
        <f t="shared" si="2"/>
        <v>POTASH</v>
      </c>
      <c r="C38" s="2" t="s">
        <v>75</v>
      </c>
      <c r="D38" s="2">
        <v>39</v>
      </c>
      <c r="E38" s="12" t="s">
        <v>490</v>
      </c>
      <c r="F38" s="2" t="s">
        <v>35</v>
      </c>
      <c r="G38" s="2" t="s">
        <v>18</v>
      </c>
      <c r="H38" s="2">
        <v>1</v>
      </c>
      <c r="I38" s="2">
        <v>1</v>
      </c>
      <c r="J38" s="2" t="s">
        <v>18</v>
      </c>
      <c r="K38" s="2" t="s">
        <v>411</v>
      </c>
      <c r="L38" s="2">
        <v>30</v>
      </c>
      <c r="M38" s="2">
        <v>255</v>
      </c>
      <c r="N38" s="2" t="s">
        <v>498</v>
      </c>
      <c r="O38" s="10" t="b">
        <v>1</v>
      </c>
      <c r="P38" s="2" t="str">
        <f t="shared" si="3"/>
        <v>potash</v>
      </c>
      <c r="Q38" s="2">
        <v>2</v>
      </c>
      <c r="R38" s="2">
        <v>5</v>
      </c>
      <c r="S38" s="2" t="s">
        <v>173</v>
      </c>
      <c r="T38" s="2" t="str">
        <f>C38</f>
        <v>POTA</v>
      </c>
      <c r="U38" s="2" t="s">
        <v>251</v>
      </c>
      <c r="V38" s="2" t="s">
        <v>277</v>
      </c>
      <c r="W38" s="2" t="s">
        <v>308</v>
      </c>
    </row>
    <row r="39" spans="1:23" x14ac:dyDescent="0.25">
      <c r="A39" s="2" t="s">
        <v>97</v>
      </c>
      <c r="B39" s="2" t="str">
        <f t="shared" si="2"/>
        <v>LITHIUM</v>
      </c>
      <c r="C39" s="2" t="s">
        <v>98</v>
      </c>
      <c r="D39" s="2">
        <v>40</v>
      </c>
      <c r="E39" s="2">
        <v>88</v>
      </c>
      <c r="F39" s="2" t="s">
        <v>35</v>
      </c>
      <c r="G39" s="2" t="s">
        <v>18</v>
      </c>
      <c r="H39" s="2">
        <v>1</v>
      </c>
      <c r="I39" s="2">
        <v>1</v>
      </c>
      <c r="J39" s="2" t="s">
        <v>18</v>
      </c>
      <c r="K39" s="2" t="s">
        <v>519</v>
      </c>
      <c r="L39" s="2" t="s">
        <v>444</v>
      </c>
      <c r="M39" s="2">
        <v>255</v>
      </c>
      <c r="N39" s="2" t="s">
        <v>478</v>
      </c>
      <c r="O39" s="10" t="b">
        <v>1</v>
      </c>
      <c r="P39" s="2" t="str">
        <f t="shared" si="3"/>
        <v>lithium</v>
      </c>
      <c r="Q39" s="2">
        <v>0</v>
      </c>
      <c r="R39" s="2">
        <v>4</v>
      </c>
      <c r="S39" s="2" t="s">
        <v>206</v>
      </c>
      <c r="T39" s="2" t="str">
        <f>C39</f>
        <v>LITH</v>
      </c>
      <c r="U39" s="2" t="s">
        <v>252</v>
      </c>
      <c r="V39" s="2" t="s">
        <v>277</v>
      </c>
      <c r="W39" s="2" t="s">
        <v>323</v>
      </c>
    </row>
    <row r="40" spans="1:23" x14ac:dyDescent="0.25">
      <c r="A40" s="2" t="s">
        <v>128</v>
      </c>
      <c r="B40" s="2" t="str">
        <f t="shared" si="2"/>
        <v>VEHICLES</v>
      </c>
      <c r="C40" s="2" t="s">
        <v>129</v>
      </c>
      <c r="D40" s="2">
        <v>41</v>
      </c>
      <c r="E40" s="12" t="s">
        <v>499</v>
      </c>
      <c r="F40" s="2" t="s">
        <v>35</v>
      </c>
      <c r="G40" s="2" t="s">
        <v>18</v>
      </c>
      <c r="H40" s="2">
        <v>1</v>
      </c>
      <c r="I40" s="2">
        <v>1</v>
      </c>
      <c r="J40" s="2" t="s">
        <v>18</v>
      </c>
      <c r="K40" s="2" t="s">
        <v>500</v>
      </c>
      <c r="L40" s="2" t="s">
        <v>501</v>
      </c>
      <c r="M40" s="2">
        <v>128</v>
      </c>
      <c r="N40" s="2" t="s">
        <v>502</v>
      </c>
      <c r="O40" s="10" t="b">
        <v>1</v>
      </c>
      <c r="P40" s="2" t="str">
        <f t="shared" si="3"/>
        <v>vehicles</v>
      </c>
      <c r="Q40" s="2">
        <v>15</v>
      </c>
      <c r="R40" s="2">
        <v>2</v>
      </c>
      <c r="S40" s="2" t="s">
        <v>174</v>
      </c>
      <c r="T40" s="2" t="str">
        <f>C40</f>
        <v>VEHI</v>
      </c>
      <c r="U40" s="2" t="s">
        <v>261</v>
      </c>
      <c r="V40" s="2" t="s">
        <v>261</v>
      </c>
      <c r="W40" s="2" t="s">
        <v>388</v>
      </c>
    </row>
    <row r="41" spans="1:23" x14ac:dyDescent="0.25">
      <c r="A41" s="2" t="s">
        <v>123</v>
      </c>
      <c r="B41" s="2" t="str">
        <f t="shared" si="2"/>
        <v>POWER_CELLS</v>
      </c>
      <c r="C41" s="2" t="s">
        <v>124</v>
      </c>
      <c r="D41" s="2">
        <v>42</v>
      </c>
      <c r="E41" s="2">
        <v>45</v>
      </c>
      <c r="F41" s="2" t="s">
        <v>35</v>
      </c>
      <c r="G41" s="2" t="s">
        <v>18</v>
      </c>
      <c r="H41" s="2">
        <v>1</v>
      </c>
      <c r="I41" s="2">
        <v>1</v>
      </c>
      <c r="J41" s="2" t="s">
        <v>18</v>
      </c>
      <c r="K41" s="2" t="s">
        <v>423</v>
      </c>
      <c r="L41" s="2">
        <v>5</v>
      </c>
      <c r="M41" s="2">
        <v>24</v>
      </c>
      <c r="N41" s="2">
        <v>149</v>
      </c>
      <c r="O41" s="10" t="b">
        <v>1</v>
      </c>
      <c r="P41" s="2" t="str">
        <f t="shared" si="3"/>
        <v>power_cells</v>
      </c>
      <c r="Q41" s="2">
        <v>0</v>
      </c>
      <c r="R41" s="2">
        <v>6</v>
      </c>
      <c r="S41" s="2" t="s">
        <v>190</v>
      </c>
      <c r="T41" s="2" t="s">
        <v>122</v>
      </c>
      <c r="U41" s="2" t="s">
        <v>542</v>
      </c>
      <c r="V41" s="2" t="s">
        <v>536</v>
      </c>
      <c r="W41" s="2" t="s">
        <v>388</v>
      </c>
    </row>
    <row r="42" spans="1:23" x14ac:dyDescent="0.25">
      <c r="A42" s="2" t="s">
        <v>103</v>
      </c>
      <c r="B42" s="2" t="str">
        <f t="shared" si="2"/>
        <v>PLASTIC_PRODUCTS</v>
      </c>
      <c r="C42" s="2" t="s">
        <v>104</v>
      </c>
      <c r="D42" s="2">
        <v>43</v>
      </c>
      <c r="E42" s="12" t="s">
        <v>503</v>
      </c>
      <c r="F42" s="2" t="s">
        <v>35</v>
      </c>
      <c r="G42" s="2" t="s">
        <v>18</v>
      </c>
      <c r="H42" s="2">
        <v>1</v>
      </c>
      <c r="I42" s="2">
        <v>1</v>
      </c>
      <c r="J42" s="2" t="s">
        <v>18</v>
      </c>
      <c r="K42" s="2" t="s">
        <v>504</v>
      </c>
      <c r="L42" s="2" t="s">
        <v>441</v>
      </c>
      <c r="M42" s="2" t="s">
        <v>473</v>
      </c>
      <c r="N42" s="2" t="s">
        <v>469</v>
      </c>
      <c r="O42" s="10" t="b">
        <v>1</v>
      </c>
      <c r="P42" s="2" t="str">
        <f t="shared" si="3"/>
        <v>plastic_products</v>
      </c>
      <c r="Q42" s="2">
        <v>6</v>
      </c>
      <c r="R42" s="2">
        <v>4</v>
      </c>
      <c r="S42" s="2" t="s">
        <v>191</v>
      </c>
      <c r="T42" s="2" t="str">
        <f>C42</f>
        <v>PLAS</v>
      </c>
      <c r="U42" s="2" t="s">
        <v>262</v>
      </c>
      <c r="V42" s="2" t="s">
        <v>277</v>
      </c>
      <c r="W42" s="2" t="s">
        <v>323</v>
      </c>
    </row>
    <row r="43" spans="1:23" x14ac:dyDescent="0.25">
      <c r="A43" s="2" t="s">
        <v>105</v>
      </c>
      <c r="B43" s="2" t="str">
        <f t="shared" si="2"/>
        <v>RECYCLED_METAL</v>
      </c>
      <c r="C43" s="2" t="s">
        <v>106</v>
      </c>
      <c r="D43" s="2">
        <v>44</v>
      </c>
      <c r="E43" s="12" t="s">
        <v>505</v>
      </c>
      <c r="F43" s="2" t="s">
        <v>35</v>
      </c>
      <c r="G43" s="2" t="s">
        <v>18</v>
      </c>
      <c r="H43" s="2">
        <v>1</v>
      </c>
      <c r="I43" s="2">
        <v>1</v>
      </c>
      <c r="J43" s="2" t="s">
        <v>18</v>
      </c>
      <c r="K43" s="2" t="s">
        <v>506</v>
      </c>
      <c r="L43" s="2" t="s">
        <v>473</v>
      </c>
      <c r="M43" s="2">
        <v>255</v>
      </c>
      <c r="N43" s="2" t="s">
        <v>507</v>
      </c>
      <c r="O43" s="10" t="b">
        <v>1</v>
      </c>
      <c r="P43" s="2" t="str">
        <f t="shared" si="3"/>
        <v>recycled_metal</v>
      </c>
      <c r="Q43" s="2">
        <v>14</v>
      </c>
      <c r="R43" s="2">
        <v>5</v>
      </c>
      <c r="S43" s="2" t="s">
        <v>192</v>
      </c>
      <c r="T43" s="2" t="s">
        <v>106</v>
      </c>
      <c r="U43" s="2" t="s">
        <v>263</v>
      </c>
      <c r="V43" s="2" t="s">
        <v>277</v>
      </c>
      <c r="W43" s="2" t="s">
        <v>308</v>
      </c>
    </row>
    <row r="44" spans="1:23" x14ac:dyDescent="0.25">
      <c r="A44" s="2" t="s">
        <v>109</v>
      </c>
      <c r="B44" s="2" t="str">
        <f t="shared" si="2"/>
        <v>RECYCLED_PLASTIC</v>
      </c>
      <c r="C44" s="2" t="s">
        <v>110</v>
      </c>
      <c r="D44" s="2">
        <v>45</v>
      </c>
      <c r="E44" s="2">
        <v>102</v>
      </c>
      <c r="F44" s="2" t="s">
        <v>35</v>
      </c>
      <c r="G44" s="2" t="s">
        <v>18</v>
      </c>
      <c r="H44" s="2">
        <v>1</v>
      </c>
      <c r="I44" s="2">
        <v>1</v>
      </c>
      <c r="J44" s="2" t="s">
        <v>18</v>
      </c>
      <c r="K44" s="2" t="s">
        <v>453</v>
      </c>
      <c r="L44" s="2" t="s">
        <v>428</v>
      </c>
      <c r="M44" s="2" t="s">
        <v>487</v>
      </c>
      <c r="N44" s="2" t="s">
        <v>524</v>
      </c>
      <c r="O44" s="10" t="b">
        <v>1</v>
      </c>
      <c r="P44" s="2" t="str">
        <f t="shared" si="3"/>
        <v>recycled_plastic</v>
      </c>
      <c r="Q44" s="2">
        <v>6</v>
      </c>
      <c r="R44" s="2">
        <v>3</v>
      </c>
      <c r="S44" s="2" t="s">
        <v>193</v>
      </c>
      <c r="T44" s="2" t="str">
        <f>C44</f>
        <v>RPLA</v>
      </c>
      <c r="U44" s="2" t="s">
        <v>264</v>
      </c>
      <c r="V44" s="2" t="s">
        <v>277</v>
      </c>
      <c r="W44" s="2" t="s">
        <v>308</v>
      </c>
    </row>
    <row r="45" spans="1:23" x14ac:dyDescent="0.25">
      <c r="A45" s="2" t="s">
        <v>111</v>
      </c>
      <c r="B45" s="2" t="str">
        <f t="shared" si="2"/>
        <v>RECYCLED_GLASS</v>
      </c>
      <c r="C45" s="2" t="s">
        <v>112</v>
      </c>
      <c r="D45" s="2">
        <v>46</v>
      </c>
      <c r="E45" s="2">
        <v>93</v>
      </c>
      <c r="F45" s="2" t="s">
        <v>35</v>
      </c>
      <c r="G45" s="2" t="s">
        <v>18</v>
      </c>
      <c r="H45" s="2">
        <v>1</v>
      </c>
      <c r="I45" s="2">
        <v>1</v>
      </c>
      <c r="J45" s="2" t="s">
        <v>18</v>
      </c>
      <c r="K45" s="2" t="s">
        <v>453</v>
      </c>
      <c r="L45" s="2" t="s">
        <v>428</v>
      </c>
      <c r="M45" s="2" t="s">
        <v>487</v>
      </c>
      <c r="N45" s="2" t="s">
        <v>524</v>
      </c>
      <c r="O45" s="10" t="b">
        <v>1</v>
      </c>
      <c r="P45" s="2" t="str">
        <f t="shared" si="3"/>
        <v>recycled_glass</v>
      </c>
      <c r="Q45" s="2">
        <v>0</v>
      </c>
      <c r="R45" s="2">
        <v>2</v>
      </c>
      <c r="S45" s="2" t="s">
        <v>194</v>
      </c>
      <c r="T45" s="2" t="str">
        <f>C45</f>
        <v>RGLA</v>
      </c>
      <c r="U45" s="2" t="s">
        <v>265</v>
      </c>
      <c r="V45" s="2" t="s">
        <v>277</v>
      </c>
      <c r="W45" s="2" t="s">
        <v>308</v>
      </c>
    </row>
    <row r="46" spans="1:23" x14ac:dyDescent="0.25">
      <c r="A46" s="2" t="s">
        <v>108</v>
      </c>
      <c r="B46" s="2" t="str">
        <f t="shared" si="2"/>
        <v>RECYCLED_PAPER</v>
      </c>
      <c r="C46" s="2" t="s">
        <v>107</v>
      </c>
      <c r="D46" s="2">
        <v>47</v>
      </c>
      <c r="E46" s="2">
        <v>14</v>
      </c>
      <c r="F46" s="2" t="s">
        <v>35</v>
      </c>
      <c r="G46" s="2" t="s">
        <v>18</v>
      </c>
      <c r="H46" s="2">
        <v>1</v>
      </c>
      <c r="I46" s="2">
        <v>1</v>
      </c>
      <c r="J46" s="2" t="s">
        <v>18</v>
      </c>
      <c r="K46" s="2" t="s">
        <v>453</v>
      </c>
      <c r="L46" s="2" t="s">
        <v>428</v>
      </c>
      <c r="M46" s="2" t="s">
        <v>487</v>
      </c>
      <c r="N46" s="2" t="s">
        <v>524</v>
      </c>
      <c r="O46" s="10" t="b">
        <v>1</v>
      </c>
      <c r="P46" s="2" t="str">
        <f t="shared" si="3"/>
        <v>recycled_paper</v>
      </c>
      <c r="Q46" s="2">
        <v>5</v>
      </c>
      <c r="R46" s="2">
        <v>3</v>
      </c>
      <c r="S46" s="2" t="s">
        <v>195</v>
      </c>
      <c r="T46" s="2" t="str">
        <f>C46</f>
        <v>RPAP</v>
      </c>
      <c r="U46" s="2" t="s">
        <v>266</v>
      </c>
      <c r="V46" s="2" t="s">
        <v>277</v>
      </c>
      <c r="W46" s="2" t="s">
        <v>308</v>
      </c>
    </row>
    <row r="47" spans="1:23" x14ac:dyDescent="0.25">
      <c r="A47" s="2" t="s">
        <v>134</v>
      </c>
      <c r="B47" s="2" t="str">
        <f t="shared" si="2"/>
        <v>TEXTILES</v>
      </c>
      <c r="C47" s="2" t="s">
        <v>135</v>
      </c>
      <c r="D47" s="2">
        <v>48</v>
      </c>
      <c r="E47" s="12" t="s">
        <v>508</v>
      </c>
      <c r="F47" s="2" t="s">
        <v>35</v>
      </c>
      <c r="G47" s="2" t="s">
        <v>18</v>
      </c>
      <c r="H47" s="2">
        <v>1</v>
      </c>
      <c r="I47" s="2">
        <v>1</v>
      </c>
      <c r="J47" s="2" t="s">
        <v>18</v>
      </c>
      <c r="K47" s="2" t="s">
        <v>423</v>
      </c>
      <c r="L47" s="2" t="s">
        <v>509</v>
      </c>
      <c r="M47" s="2" t="s">
        <v>296</v>
      </c>
      <c r="N47" s="2" t="s">
        <v>510</v>
      </c>
      <c r="O47" s="10" t="b">
        <v>1</v>
      </c>
      <c r="P47" s="2" t="str">
        <f t="shared" si="3"/>
        <v>textiles</v>
      </c>
      <c r="Q47" s="2">
        <v>11</v>
      </c>
      <c r="R47" s="2">
        <v>2</v>
      </c>
      <c r="S47" s="2" t="s">
        <v>196</v>
      </c>
      <c r="T47" s="2" t="str">
        <f>C47</f>
        <v>TEXT</v>
      </c>
      <c r="U47" s="2" t="s">
        <v>267</v>
      </c>
      <c r="V47" s="2" t="s">
        <v>277</v>
      </c>
      <c r="W47" s="2" t="s">
        <v>323</v>
      </c>
    </row>
    <row r="48" spans="1:23" x14ac:dyDescent="0.25">
      <c r="A48" s="2" t="s">
        <v>121</v>
      </c>
      <c r="B48" s="2" t="str">
        <f t="shared" si="2"/>
        <v>ELECTRONICS</v>
      </c>
      <c r="C48" s="2" t="s">
        <v>122</v>
      </c>
      <c r="D48" s="2">
        <v>49</v>
      </c>
      <c r="E48" s="2">
        <v>206</v>
      </c>
      <c r="F48" s="2" t="s">
        <v>35</v>
      </c>
      <c r="G48" s="2" t="s">
        <v>18</v>
      </c>
      <c r="H48" s="2">
        <v>1</v>
      </c>
      <c r="I48" s="2">
        <v>1</v>
      </c>
      <c r="J48" s="2" t="s">
        <v>18</v>
      </c>
      <c r="K48" s="2" t="s">
        <v>423</v>
      </c>
      <c r="L48" s="2">
        <v>5</v>
      </c>
      <c r="M48" s="2">
        <v>24</v>
      </c>
      <c r="N48" s="2">
        <v>149</v>
      </c>
      <c r="O48" s="10" t="b">
        <v>1</v>
      </c>
      <c r="P48" s="2" t="str">
        <f t="shared" si="3"/>
        <v>electronics</v>
      </c>
      <c r="Q48" s="2">
        <v>5</v>
      </c>
      <c r="R48" s="2">
        <v>4</v>
      </c>
      <c r="S48" s="2" t="s">
        <v>197</v>
      </c>
      <c r="T48" s="2" t="s">
        <v>124</v>
      </c>
      <c r="U48" s="2" t="s">
        <v>543</v>
      </c>
      <c r="V48" s="2" t="s">
        <v>536</v>
      </c>
      <c r="W48" s="2" t="s">
        <v>388</v>
      </c>
    </row>
    <row r="49" spans="1:23" x14ac:dyDescent="0.25">
      <c r="A49" s="2" t="s">
        <v>116</v>
      </c>
      <c r="B49" s="2" t="str">
        <f t="shared" si="2"/>
        <v>FERTILIZER</v>
      </c>
      <c r="C49" s="2" t="s">
        <v>117</v>
      </c>
      <c r="D49" s="2">
        <v>50</v>
      </c>
      <c r="E49" s="12" t="s">
        <v>482</v>
      </c>
      <c r="F49" s="2" t="s">
        <v>35</v>
      </c>
      <c r="G49" s="2" t="s">
        <v>18</v>
      </c>
      <c r="H49" s="2">
        <v>1</v>
      </c>
      <c r="I49" s="2">
        <v>1</v>
      </c>
      <c r="J49" s="2" t="s">
        <v>18</v>
      </c>
      <c r="K49" s="2" t="s">
        <v>504</v>
      </c>
      <c r="L49" s="2" t="s">
        <v>511</v>
      </c>
      <c r="M49" s="2" t="s">
        <v>512</v>
      </c>
      <c r="N49" s="2" t="s">
        <v>425</v>
      </c>
      <c r="O49" s="10" t="b">
        <v>1</v>
      </c>
      <c r="P49" s="2" t="str">
        <f t="shared" si="3"/>
        <v>fertilizer</v>
      </c>
      <c r="Q49" s="2">
        <v>3</v>
      </c>
      <c r="R49" s="2">
        <v>3</v>
      </c>
      <c r="S49" s="2" t="s">
        <v>198</v>
      </c>
      <c r="T49" s="2" t="str">
        <f>C49</f>
        <v>FERT</v>
      </c>
      <c r="U49" s="2" t="s">
        <v>268</v>
      </c>
      <c r="V49" s="2" t="s">
        <v>277</v>
      </c>
      <c r="W49" s="2" t="s">
        <v>323</v>
      </c>
    </row>
    <row r="50" spans="1:23" hidden="1" x14ac:dyDescent="0.25">
      <c r="A50" s="2" t="s">
        <v>149</v>
      </c>
      <c r="B50" s="2" t="str">
        <f t="shared" si="2"/>
        <v>NUCLEAR_WASTE</v>
      </c>
      <c r="C50" s="2" t="s">
        <v>150</v>
      </c>
      <c r="E50" s="2">
        <v>207</v>
      </c>
      <c r="F50" s="2" t="s">
        <v>35</v>
      </c>
      <c r="G50" s="2" t="s">
        <v>18</v>
      </c>
      <c r="H50" s="2">
        <v>1</v>
      </c>
      <c r="I50" s="2">
        <v>1</v>
      </c>
      <c r="J50" s="2" t="s">
        <v>18</v>
      </c>
      <c r="K50" s="2" t="s">
        <v>55</v>
      </c>
      <c r="L50" s="2">
        <v>6</v>
      </c>
      <c r="M50" s="2">
        <v>42</v>
      </c>
      <c r="N50" s="2">
        <v>191</v>
      </c>
      <c r="O50" s="10" t="s">
        <v>320</v>
      </c>
      <c r="P50" s="2" t="str">
        <f t="shared" si="3"/>
        <v>nuclear_waste</v>
      </c>
      <c r="Q50" s="2">
        <v>2</v>
      </c>
      <c r="R50" s="2">
        <v>4</v>
      </c>
      <c r="S50" s="2" t="s">
        <v>199</v>
      </c>
      <c r="T50" s="2" t="s">
        <v>221</v>
      </c>
      <c r="U50" s="2" t="s">
        <v>269</v>
      </c>
      <c r="V50" s="2" t="s">
        <v>277</v>
      </c>
      <c r="W50" s="2" t="s">
        <v>463</v>
      </c>
    </row>
    <row r="51" spans="1:23" x14ac:dyDescent="0.25">
      <c r="A51" s="2" t="s">
        <v>89</v>
      </c>
      <c r="B51" s="2" t="str">
        <f t="shared" si="2"/>
        <v>CHEMICAL_PRODUCTS</v>
      </c>
      <c r="C51" s="2" t="s">
        <v>90</v>
      </c>
      <c r="D51" s="2">
        <v>52</v>
      </c>
      <c r="E51" s="2">
        <v>208</v>
      </c>
      <c r="F51" s="2" t="s">
        <v>35</v>
      </c>
      <c r="G51" s="2" t="s">
        <v>18</v>
      </c>
      <c r="H51" s="2">
        <v>1</v>
      </c>
      <c r="I51" s="2">
        <v>1</v>
      </c>
      <c r="J51" s="2" t="s">
        <v>514</v>
      </c>
      <c r="K51" s="2" t="s">
        <v>515</v>
      </c>
      <c r="L51" s="2">
        <v>20</v>
      </c>
      <c r="M51" s="2" t="s">
        <v>296</v>
      </c>
      <c r="N51" s="2" t="s">
        <v>516</v>
      </c>
      <c r="O51" s="10" t="b">
        <v>1</v>
      </c>
      <c r="P51" s="2" t="str">
        <f t="shared" si="3"/>
        <v>chemical_products</v>
      </c>
      <c r="Q51" s="2">
        <v>10</v>
      </c>
      <c r="R51" s="2">
        <v>1</v>
      </c>
      <c r="S51" s="2" t="s">
        <v>200</v>
      </c>
      <c r="T51" s="2" t="s">
        <v>90</v>
      </c>
      <c r="U51" s="2" t="s">
        <v>270</v>
      </c>
      <c r="V51" s="2" t="s">
        <v>278</v>
      </c>
      <c r="W51" s="2" t="s">
        <v>323</v>
      </c>
    </row>
    <row r="52" spans="1:23" x14ac:dyDescent="0.25">
      <c r="A52" s="2" t="s">
        <v>83</v>
      </c>
      <c r="B52" s="2" t="str">
        <f t="shared" si="2"/>
        <v>PETROCHEMICALS</v>
      </c>
      <c r="C52" s="2" t="s">
        <v>84</v>
      </c>
      <c r="D52" s="2">
        <v>53</v>
      </c>
      <c r="E52" s="12" t="s">
        <v>513</v>
      </c>
      <c r="F52" s="2" t="s">
        <v>35</v>
      </c>
      <c r="G52" s="2" t="s">
        <v>18</v>
      </c>
      <c r="H52" s="2">
        <v>1</v>
      </c>
      <c r="I52" s="2">
        <v>1</v>
      </c>
      <c r="J52" s="2" t="s">
        <v>514</v>
      </c>
      <c r="K52" s="2" t="s">
        <v>515</v>
      </c>
      <c r="L52" s="2">
        <v>20</v>
      </c>
      <c r="M52" s="2" t="s">
        <v>296</v>
      </c>
      <c r="N52" s="2" t="s">
        <v>516</v>
      </c>
      <c r="O52" s="10" t="b">
        <v>1</v>
      </c>
      <c r="P52" s="2" t="str">
        <f t="shared" si="3"/>
        <v>petrochemicals</v>
      </c>
      <c r="Q52" s="2">
        <v>4</v>
      </c>
      <c r="R52" s="2">
        <v>4</v>
      </c>
      <c r="S52" s="2" t="s">
        <v>409</v>
      </c>
      <c r="T52" s="2" t="s">
        <v>84</v>
      </c>
      <c r="U52" s="2" t="s">
        <v>271</v>
      </c>
      <c r="V52" s="2" t="s">
        <v>278</v>
      </c>
      <c r="W52" s="2" t="s">
        <v>323</v>
      </c>
    </row>
    <row r="53" spans="1:23" hidden="1" x14ac:dyDescent="0.25">
      <c r="A53" s="2" t="s">
        <v>113</v>
      </c>
      <c r="B53" s="2" t="str">
        <f t="shared" si="2"/>
        <v>NUCLEAR_FUELS</v>
      </c>
      <c r="C53" s="2" t="s">
        <v>114</v>
      </c>
      <c r="E53" s="2">
        <v>209</v>
      </c>
      <c r="F53" s="2" t="s">
        <v>35</v>
      </c>
      <c r="G53" s="2" t="s">
        <v>18</v>
      </c>
      <c r="H53" s="2">
        <v>1</v>
      </c>
      <c r="I53" s="2">
        <v>1</v>
      </c>
      <c r="J53" s="2" t="s">
        <v>18</v>
      </c>
      <c r="K53" s="2" t="s">
        <v>115</v>
      </c>
      <c r="L53" s="2">
        <v>30</v>
      </c>
      <c r="M53" s="2">
        <v>255</v>
      </c>
      <c r="N53" s="2">
        <v>150</v>
      </c>
      <c r="O53" s="10" t="s">
        <v>320</v>
      </c>
      <c r="P53" s="2" t="str">
        <f t="shared" si="3"/>
        <v>nuclear_fuels</v>
      </c>
      <c r="Q53" s="2">
        <v>3</v>
      </c>
      <c r="R53" s="2">
        <v>5</v>
      </c>
      <c r="S53" s="2" t="s">
        <v>201</v>
      </c>
      <c r="T53" s="2" t="str">
        <f>C53</f>
        <v>NUKF</v>
      </c>
      <c r="U53" s="2" t="s">
        <v>272</v>
      </c>
      <c r="V53" s="2" t="s">
        <v>277</v>
      </c>
      <c r="W53" s="2" t="s">
        <v>323</v>
      </c>
    </row>
    <row r="54" spans="1:23" x14ac:dyDescent="0.25">
      <c r="A54" s="2" t="s">
        <v>140</v>
      </c>
      <c r="B54" s="2" t="str">
        <f t="shared" si="2"/>
        <v>ENGINEERING_SUPPLIES</v>
      </c>
      <c r="C54" s="2" t="s">
        <v>141</v>
      </c>
      <c r="D54" s="2">
        <v>55</v>
      </c>
      <c r="E54" s="12" t="s">
        <v>517</v>
      </c>
      <c r="F54" s="2" t="s">
        <v>35</v>
      </c>
      <c r="G54" s="2" t="s">
        <v>18</v>
      </c>
      <c r="H54" s="2">
        <v>1</v>
      </c>
      <c r="I54" s="2">
        <v>1</v>
      </c>
      <c r="J54" s="2" t="s">
        <v>448</v>
      </c>
      <c r="K54" s="2" t="s">
        <v>449</v>
      </c>
      <c r="L54" s="2" t="s">
        <v>294</v>
      </c>
      <c r="M54" s="2" t="s">
        <v>475</v>
      </c>
      <c r="N54" s="2" t="s">
        <v>518</v>
      </c>
      <c r="O54" s="10" t="b">
        <v>1</v>
      </c>
      <c r="P54" s="2" t="str">
        <f t="shared" si="3"/>
        <v>engineering_supplies</v>
      </c>
      <c r="Q54" s="2">
        <v>11</v>
      </c>
      <c r="R54" s="2">
        <v>1</v>
      </c>
      <c r="S54" s="2" t="s">
        <v>202</v>
      </c>
      <c r="T54" s="2" t="s">
        <v>222</v>
      </c>
      <c r="U54" s="2" t="s">
        <v>544</v>
      </c>
      <c r="V54" s="2" t="s">
        <v>536</v>
      </c>
      <c r="W54" s="2" t="s">
        <v>388</v>
      </c>
    </row>
    <row r="55" spans="1:23" x14ac:dyDescent="0.25">
      <c r="A55" s="2" t="s">
        <v>142</v>
      </c>
      <c r="B55" s="2" t="str">
        <f t="shared" si="2"/>
        <v>MARINE_SUPPLIES</v>
      </c>
      <c r="C55" s="2" t="s">
        <v>143</v>
      </c>
      <c r="D55" s="2">
        <v>56</v>
      </c>
      <c r="E55" s="2">
        <v>205</v>
      </c>
      <c r="F55" s="2" t="s">
        <v>35</v>
      </c>
      <c r="G55" s="2" t="s">
        <v>18</v>
      </c>
      <c r="H55" s="2">
        <v>1</v>
      </c>
      <c r="I55" s="2">
        <v>1</v>
      </c>
      <c r="J55" s="2" t="s">
        <v>448</v>
      </c>
      <c r="K55" s="2" t="s">
        <v>449</v>
      </c>
      <c r="L55" s="2" t="s">
        <v>294</v>
      </c>
      <c r="M55" s="2" t="s">
        <v>475</v>
      </c>
      <c r="N55" s="2" t="s">
        <v>518</v>
      </c>
      <c r="O55" s="10" t="b">
        <v>1</v>
      </c>
      <c r="P55" s="2" t="str">
        <f t="shared" si="3"/>
        <v>marine_supplies</v>
      </c>
      <c r="Q55" s="2">
        <v>5</v>
      </c>
      <c r="R55" s="2">
        <v>5</v>
      </c>
      <c r="S55" s="2" t="s">
        <v>203</v>
      </c>
      <c r="T55" s="2" t="s">
        <v>223</v>
      </c>
      <c r="U55" s="2" t="s">
        <v>545</v>
      </c>
      <c r="V55" s="2" t="s">
        <v>536</v>
      </c>
      <c r="W55" s="2" t="s">
        <v>388</v>
      </c>
    </row>
    <row r="56" spans="1:23" x14ac:dyDescent="0.25">
      <c r="A56" s="2" t="s">
        <v>144</v>
      </c>
      <c r="B56" s="2" t="str">
        <f t="shared" si="2"/>
        <v>MANUFACTURING_SUPPLIES</v>
      </c>
      <c r="C56" s="2" t="s">
        <v>145</v>
      </c>
      <c r="D56" s="2">
        <v>57</v>
      </c>
      <c r="E56" s="2">
        <v>69</v>
      </c>
      <c r="F56" s="2" t="s">
        <v>35</v>
      </c>
      <c r="G56" s="2" t="s">
        <v>18</v>
      </c>
      <c r="H56" s="2">
        <v>1</v>
      </c>
      <c r="I56" s="2">
        <v>1</v>
      </c>
      <c r="J56" s="2" t="s">
        <v>448</v>
      </c>
      <c r="K56" s="2" t="s">
        <v>449</v>
      </c>
      <c r="L56" s="2" t="s">
        <v>294</v>
      </c>
      <c r="M56" s="2" t="s">
        <v>475</v>
      </c>
      <c r="N56" s="2" t="s">
        <v>518</v>
      </c>
      <c r="O56" s="10" t="b">
        <v>1</v>
      </c>
      <c r="P56" s="2" t="str">
        <f t="shared" si="3"/>
        <v>manufacturing_supplies</v>
      </c>
      <c r="Q56" s="2">
        <v>2</v>
      </c>
      <c r="R56" s="2">
        <v>2</v>
      </c>
      <c r="S56" s="2" t="s">
        <v>204</v>
      </c>
      <c r="T56" s="2" t="s">
        <v>224</v>
      </c>
      <c r="U56" s="2" t="s">
        <v>546</v>
      </c>
      <c r="V56" s="2" t="s">
        <v>536</v>
      </c>
      <c r="W56" s="2" t="s">
        <v>388</v>
      </c>
    </row>
    <row r="57" spans="1:23" x14ac:dyDescent="0.25">
      <c r="A57" s="2" t="s">
        <v>284</v>
      </c>
      <c r="B57" s="2" t="str">
        <f t="shared" si="2"/>
        <v>SILICON</v>
      </c>
      <c r="C57" s="2" t="s">
        <v>96</v>
      </c>
      <c r="D57" s="2">
        <v>58</v>
      </c>
      <c r="E57" s="2">
        <v>196</v>
      </c>
      <c r="F57" s="2" t="s">
        <v>35</v>
      </c>
      <c r="G57" s="2" t="s">
        <v>18</v>
      </c>
      <c r="H57" s="2">
        <v>1</v>
      </c>
      <c r="I57" s="2">
        <v>1</v>
      </c>
      <c r="J57" s="2" t="s">
        <v>18</v>
      </c>
      <c r="K57" s="2" t="s">
        <v>519</v>
      </c>
      <c r="L57" s="2" t="s">
        <v>444</v>
      </c>
      <c r="M57" s="2">
        <v>255</v>
      </c>
      <c r="N57" s="2" t="s">
        <v>478</v>
      </c>
      <c r="O57" s="10" t="b">
        <v>1</v>
      </c>
      <c r="P57" s="2" t="str">
        <f t="shared" si="3"/>
        <v>silicon</v>
      </c>
      <c r="Q57" s="2">
        <v>3</v>
      </c>
      <c r="R57" s="2">
        <v>4</v>
      </c>
      <c r="S57" s="2" t="s">
        <v>205</v>
      </c>
      <c r="T57" s="2" t="str">
        <f>C57</f>
        <v>SILI</v>
      </c>
      <c r="U57" s="2" t="s">
        <v>273</v>
      </c>
      <c r="V57" s="2" t="s">
        <v>277</v>
      </c>
      <c r="W57" s="2" t="s">
        <v>323</v>
      </c>
    </row>
    <row r="58" spans="1:23" x14ac:dyDescent="0.25">
      <c r="A58" s="2" t="s">
        <v>72</v>
      </c>
      <c r="B58" s="2" t="str">
        <f t="shared" si="2"/>
        <v>CLAY</v>
      </c>
      <c r="C58" s="2" t="s">
        <v>73</v>
      </c>
      <c r="D58" s="2">
        <v>59</v>
      </c>
      <c r="E58" s="12" t="s">
        <v>483</v>
      </c>
      <c r="F58" s="2" t="s">
        <v>35</v>
      </c>
      <c r="G58" s="2" t="s">
        <v>18</v>
      </c>
      <c r="H58" s="2">
        <v>1</v>
      </c>
      <c r="I58" s="2">
        <v>1</v>
      </c>
      <c r="J58" s="2" t="s">
        <v>18</v>
      </c>
      <c r="K58" s="2" t="s">
        <v>519</v>
      </c>
      <c r="L58" s="2">
        <v>30</v>
      </c>
      <c r="M58" s="2">
        <v>255</v>
      </c>
      <c r="N58" s="2" t="s">
        <v>488</v>
      </c>
      <c r="O58" s="10" t="b">
        <v>1</v>
      </c>
      <c r="P58" s="2" t="str">
        <f t="shared" si="3"/>
        <v>clay</v>
      </c>
      <c r="Q58" s="2">
        <v>9</v>
      </c>
      <c r="R58" s="2">
        <v>1</v>
      </c>
      <c r="S58" s="2" t="s">
        <v>207</v>
      </c>
      <c r="T58" s="2" t="str">
        <f>C58</f>
        <v>CLAY</v>
      </c>
      <c r="U58" s="2" t="s">
        <v>274</v>
      </c>
      <c r="V58" s="2" t="s">
        <v>277</v>
      </c>
      <c r="W58" s="2" t="s">
        <v>308</v>
      </c>
    </row>
    <row r="59" spans="1:23" hidden="1" x14ac:dyDescent="0.25">
      <c r="A59" s="2" t="s">
        <v>412</v>
      </c>
      <c r="B59" s="2" t="str">
        <f t="shared" si="2"/>
        <v>NATURAL_GAS</v>
      </c>
      <c r="C59" s="2" t="s">
        <v>413</v>
      </c>
      <c r="O59" s="10" t="s">
        <v>320</v>
      </c>
      <c r="P59" s="2" t="str">
        <f t="shared" si="3"/>
        <v>natural_gas</v>
      </c>
      <c r="S59" s="2" t="s">
        <v>459</v>
      </c>
      <c r="W59" s="2" t="s">
        <v>308</v>
      </c>
    </row>
    <row r="60" spans="1:23" hidden="1" x14ac:dyDescent="0.25">
      <c r="A60" s="2" t="s">
        <v>39</v>
      </c>
      <c r="B60" s="2" t="str">
        <f t="shared" si="2"/>
        <v>ORGANIC_WASTE</v>
      </c>
      <c r="C60" s="2" t="s">
        <v>40</v>
      </c>
      <c r="E60" s="2">
        <v>60</v>
      </c>
      <c r="F60" s="2" t="s">
        <v>35</v>
      </c>
      <c r="G60" s="2" t="s">
        <v>18</v>
      </c>
      <c r="H60" s="2">
        <v>1</v>
      </c>
      <c r="I60" s="2">
        <v>1</v>
      </c>
      <c r="J60" s="2" t="s">
        <v>18</v>
      </c>
      <c r="K60" s="2" t="s">
        <v>36</v>
      </c>
      <c r="L60" s="2">
        <v>30</v>
      </c>
      <c r="M60" s="2">
        <v>255</v>
      </c>
      <c r="N60" s="2">
        <v>127</v>
      </c>
      <c r="O60" s="10" t="s">
        <v>320</v>
      </c>
      <c r="P60" s="2" t="str">
        <f t="shared" si="3"/>
        <v>organic_waste</v>
      </c>
      <c r="Q60" s="2">
        <v>6</v>
      </c>
      <c r="R60" s="2">
        <v>2</v>
      </c>
      <c r="S60" s="2" t="s">
        <v>208</v>
      </c>
      <c r="T60" s="2" t="s">
        <v>225</v>
      </c>
      <c r="U60" s="2" t="s">
        <v>275</v>
      </c>
      <c r="V60" s="2" t="s">
        <v>277</v>
      </c>
      <c r="W60" s="2" t="s">
        <v>461</v>
      </c>
    </row>
    <row r="61" spans="1:23" hidden="1" x14ac:dyDescent="0.25">
      <c r="A61" s="2" t="s">
        <v>16</v>
      </c>
      <c r="B61" s="2" t="str">
        <f t="shared" si="2"/>
        <v>COMMUTERS</v>
      </c>
      <c r="C61" s="2" t="s">
        <v>19</v>
      </c>
      <c r="E61" s="2">
        <v>154</v>
      </c>
      <c r="F61" s="2" t="s">
        <v>17</v>
      </c>
      <c r="G61" s="2" t="s">
        <v>18</v>
      </c>
      <c r="H61" s="2">
        <v>0</v>
      </c>
      <c r="I61" s="2">
        <v>4</v>
      </c>
      <c r="J61" s="2">
        <v>6.25E-2</v>
      </c>
      <c r="K61" s="2" t="s">
        <v>20</v>
      </c>
      <c r="L61" s="2">
        <v>0</v>
      </c>
      <c r="M61" s="2">
        <v>22</v>
      </c>
      <c r="N61" s="2">
        <v>102</v>
      </c>
      <c r="O61" s="10" t="s">
        <v>320</v>
      </c>
      <c r="P61" s="2" t="str">
        <f t="shared" si="3"/>
        <v>commuters</v>
      </c>
      <c r="Q61" s="2">
        <v>1</v>
      </c>
      <c r="R61" s="2">
        <v>6</v>
      </c>
      <c r="S61" s="2" t="s">
        <v>15</v>
      </c>
      <c r="T61" s="2" t="str">
        <f>C61</f>
        <v>COMM</v>
      </c>
      <c r="U61" s="2" t="s">
        <v>227</v>
      </c>
      <c r="V61" s="2" t="s">
        <v>227</v>
      </c>
      <c r="W61" s="2" t="s">
        <v>461</v>
      </c>
    </row>
    <row r="62" spans="1:23" hidden="1" x14ac:dyDescent="0.25">
      <c r="A62" s="2" t="s">
        <v>25</v>
      </c>
      <c r="B62" s="2" t="str">
        <f t="shared" si="2"/>
        <v>TOURISTS</v>
      </c>
      <c r="C62" s="2" t="s">
        <v>30</v>
      </c>
      <c r="E62" s="2">
        <v>173</v>
      </c>
      <c r="F62" s="2" t="s">
        <v>17</v>
      </c>
      <c r="G62" s="2" t="s">
        <v>18</v>
      </c>
      <c r="H62" s="2">
        <v>0</v>
      </c>
      <c r="I62" s="2">
        <v>4</v>
      </c>
      <c r="J62" s="2">
        <v>6.25E-2</v>
      </c>
      <c r="K62" s="2" t="s">
        <v>20</v>
      </c>
      <c r="L62" s="2">
        <v>0</v>
      </c>
      <c r="M62" s="2">
        <v>22</v>
      </c>
      <c r="N62" s="2">
        <v>102</v>
      </c>
      <c r="O62" s="10" t="s">
        <v>320</v>
      </c>
      <c r="P62" s="2" t="str">
        <f t="shared" si="3"/>
        <v>tourists</v>
      </c>
      <c r="Q62" s="2">
        <v>2</v>
      </c>
      <c r="R62" s="2">
        <v>6</v>
      </c>
      <c r="S62" s="2" t="s">
        <v>24</v>
      </c>
      <c r="T62" s="2" t="str">
        <f>C62</f>
        <v>TOUR</v>
      </c>
      <c r="U62" s="2" t="s">
        <v>260</v>
      </c>
      <c r="V62" s="2" t="s">
        <v>260</v>
      </c>
      <c r="W62" s="2" t="s">
        <v>461</v>
      </c>
    </row>
    <row r="63" spans="1:23" hidden="1" x14ac:dyDescent="0.25">
      <c r="A63" s="2" t="s">
        <v>146</v>
      </c>
      <c r="B63" s="2" t="str">
        <f t="shared" si="2"/>
        <v>VALUABLES</v>
      </c>
      <c r="C63" s="2" t="s">
        <v>147</v>
      </c>
      <c r="E63" s="2">
        <v>202</v>
      </c>
      <c r="F63" s="2" t="s">
        <v>35</v>
      </c>
      <c r="G63" s="2" t="s">
        <v>18</v>
      </c>
      <c r="H63" s="2">
        <v>1</v>
      </c>
      <c r="I63" s="2">
        <v>1</v>
      </c>
      <c r="J63" s="2" t="s">
        <v>18</v>
      </c>
      <c r="K63" s="2" t="s">
        <v>148</v>
      </c>
      <c r="L63" s="2">
        <v>30</v>
      </c>
      <c r="M63" s="2">
        <v>255</v>
      </c>
      <c r="N63" s="2">
        <v>172</v>
      </c>
      <c r="O63" s="10" t="s">
        <v>320</v>
      </c>
      <c r="P63" s="2" t="str">
        <f t="shared" si="3"/>
        <v>valuables</v>
      </c>
      <c r="Q63" s="2">
        <v>3</v>
      </c>
      <c r="R63" s="2">
        <v>2</v>
      </c>
      <c r="S63" s="2" t="s">
        <v>171</v>
      </c>
      <c r="T63" s="2" t="str">
        <f>C63</f>
        <v>VALU</v>
      </c>
      <c r="U63" s="2" t="s">
        <v>258</v>
      </c>
      <c r="V63" s="2" t="s">
        <v>279</v>
      </c>
      <c r="W63" s="2" t="s">
        <v>462</v>
      </c>
    </row>
    <row r="64" spans="1:23" x14ac:dyDescent="0.25">
      <c r="A64" s="2" t="s">
        <v>525</v>
      </c>
      <c r="B64" s="2" t="str">
        <f t="shared" si="2"/>
        <v>EXPLOSIVES</v>
      </c>
      <c r="C64" s="2" t="s">
        <v>526</v>
      </c>
      <c r="D64" s="2" t="s">
        <v>416</v>
      </c>
      <c r="E64" s="2">
        <v>148</v>
      </c>
      <c r="F64" s="2" t="s">
        <v>35</v>
      </c>
      <c r="G64" s="2" t="s">
        <v>18</v>
      </c>
      <c r="H64" s="2">
        <v>1</v>
      </c>
      <c r="I64" s="2">
        <v>1</v>
      </c>
      <c r="J64" s="2" t="s">
        <v>527</v>
      </c>
      <c r="K64" s="2" t="s">
        <v>528</v>
      </c>
      <c r="L64" s="2" t="s">
        <v>529</v>
      </c>
      <c r="M64" s="2" t="s">
        <v>530</v>
      </c>
      <c r="N64" s="2" t="s">
        <v>480</v>
      </c>
      <c r="O64" s="10" t="b">
        <v>1</v>
      </c>
      <c r="P64" s="2" t="str">
        <f t="shared" si="3"/>
        <v>explosives</v>
      </c>
      <c r="Q64" s="2" t="s">
        <v>294</v>
      </c>
      <c r="R64" s="2" t="s">
        <v>532</v>
      </c>
      <c r="S64" s="2" t="s">
        <v>531</v>
      </c>
      <c r="T64" s="2" t="str">
        <f>C64</f>
        <v>BOOM</v>
      </c>
      <c r="U64" s="2" t="s">
        <v>547</v>
      </c>
      <c r="V64" s="2" t="s">
        <v>536</v>
      </c>
      <c r="W64" s="2" t="s">
        <v>388</v>
      </c>
    </row>
  </sheetData>
  <autoFilter ref="A1:W64" xr:uid="{A3E2E412-BEDD-4897-B555-855B4B690393}">
    <filterColumn colId="14">
      <filters>
        <filter val="TRUE"/>
      </filters>
    </filterColumn>
    <sortState xmlns:xlrd2="http://schemas.microsoft.com/office/spreadsheetml/2017/richdata2" ref="A2:W63">
      <sortCondition ref="D1:D6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E960-D72E-48CD-A396-7A854E37C965}">
  <dimension ref="A1:P30"/>
  <sheetViews>
    <sheetView zoomScale="85" zoomScaleNormal="85" workbookViewId="0">
      <pane ySplit="1" topLeftCell="A25" activePane="bottomLeft" state="frozen"/>
      <selection pane="bottomLeft"/>
    </sheetView>
  </sheetViews>
  <sheetFormatPr defaultRowHeight="15" x14ac:dyDescent="0.25"/>
  <cols>
    <col min="1" max="1" width="20.140625" style="2" customWidth="1"/>
    <col min="2" max="2" width="22.85546875" customWidth="1"/>
    <col min="3" max="3" width="20.140625" customWidth="1"/>
    <col min="4" max="5" width="20.140625" style="2" customWidth="1"/>
    <col min="6" max="6" width="20.140625" style="8" customWidth="1"/>
    <col min="7" max="7" width="6.140625" style="8" customWidth="1"/>
    <col min="8" max="8" width="6.85546875" style="8" customWidth="1"/>
    <col min="9" max="9" width="25.42578125" style="2" customWidth="1"/>
    <col min="10" max="10" width="21.28515625" customWidth="1"/>
    <col min="11" max="13" width="9.140625" style="2"/>
    <col min="14" max="14" width="16.85546875" style="2" customWidth="1"/>
    <col min="15" max="15" width="13.85546875" style="2" customWidth="1"/>
    <col min="16" max="16384" width="9.140625" style="2"/>
  </cols>
  <sheetData>
    <row r="1" spans="1:16" s="1" customFormat="1" x14ac:dyDescent="0.25">
      <c r="A1" s="1" t="s">
        <v>285</v>
      </c>
      <c r="B1" s="4" t="s">
        <v>283</v>
      </c>
      <c r="C1" s="4" t="s">
        <v>151</v>
      </c>
      <c r="D1" s="1" t="s">
        <v>152</v>
      </c>
      <c r="E1" s="1" t="s">
        <v>322</v>
      </c>
      <c r="F1" s="6" t="s">
        <v>321</v>
      </c>
      <c r="G1" s="6" t="s">
        <v>286</v>
      </c>
      <c r="H1" s="6" t="s">
        <v>287</v>
      </c>
      <c r="I1" s="1" t="s">
        <v>288</v>
      </c>
      <c r="J1" s="4" t="s">
        <v>292</v>
      </c>
      <c r="K1" s="1" t="s">
        <v>289</v>
      </c>
      <c r="L1" s="1" t="s">
        <v>290</v>
      </c>
      <c r="M1" s="1" t="s">
        <v>291</v>
      </c>
      <c r="N1" s="1" t="s">
        <v>297</v>
      </c>
      <c r="O1" s="1" t="s">
        <v>298</v>
      </c>
      <c r="P1" s="1" t="s">
        <v>299</v>
      </c>
    </row>
    <row r="2" spans="1:16" s="3" customFormat="1" ht="60" x14ac:dyDescent="0.25">
      <c r="A2" s="3" t="s">
        <v>324</v>
      </c>
      <c r="B2" s="5" t="str">
        <f t="shared" ref="B2:B30" si="0">UPPER(A2)</f>
        <v>INLAND_EXTRACTION</v>
      </c>
      <c r="C2" s="3" t="str">
        <f t="shared" ref="C2:C30" si="1">A2</f>
        <v>inland_extraction</v>
      </c>
      <c r="D2" s="3" t="s">
        <v>309</v>
      </c>
      <c r="E2" s="3" t="s">
        <v>308</v>
      </c>
      <c r="F2" s="7">
        <v>0</v>
      </c>
      <c r="G2" s="7">
        <v>1</v>
      </c>
      <c r="H2" s="7">
        <v>152</v>
      </c>
      <c r="I2" s="3" t="s">
        <v>306</v>
      </c>
      <c r="J2" s="3" t="str">
        <f t="shared" ref="J2:J30" si="2">E2</f>
        <v>extraction</v>
      </c>
      <c r="K2" s="3" t="s">
        <v>294</v>
      </c>
      <c r="L2" s="3" t="s">
        <v>295</v>
      </c>
      <c r="M2" s="3" t="s">
        <v>296</v>
      </c>
      <c r="N2" s="3" t="s">
        <v>325</v>
      </c>
      <c r="O2" s="3" t="s">
        <v>327</v>
      </c>
      <c r="P2" s="3" t="s">
        <v>326</v>
      </c>
    </row>
    <row r="3" spans="1:16" s="3" customFormat="1" ht="60" x14ac:dyDescent="0.25">
      <c r="A3" s="3" t="s">
        <v>328</v>
      </c>
      <c r="B3" s="5" t="str">
        <f t="shared" si="0"/>
        <v>OFFSHORE_EXTRACTION</v>
      </c>
      <c r="C3" s="5" t="str">
        <f t="shared" si="1"/>
        <v>offshore_extraction</v>
      </c>
      <c r="D3" s="3" t="s">
        <v>309</v>
      </c>
      <c r="E3" s="3" t="s">
        <v>308</v>
      </c>
      <c r="F3" s="7">
        <v>0</v>
      </c>
      <c r="G3" s="7">
        <v>2</v>
      </c>
      <c r="H3" s="7">
        <v>152</v>
      </c>
      <c r="I3" s="3" t="s">
        <v>306</v>
      </c>
      <c r="J3" s="3" t="str">
        <f t="shared" si="2"/>
        <v>extraction</v>
      </c>
      <c r="K3" s="3" t="s">
        <v>294</v>
      </c>
      <c r="L3" s="3" t="s">
        <v>295</v>
      </c>
      <c r="M3" s="3" t="s">
        <v>296</v>
      </c>
      <c r="N3" s="3" t="s">
        <v>329</v>
      </c>
      <c r="O3" s="3" t="s">
        <v>331</v>
      </c>
      <c r="P3" s="3" t="s">
        <v>330</v>
      </c>
    </row>
    <row r="4" spans="1:16" s="3" customFormat="1" ht="60" x14ac:dyDescent="0.25">
      <c r="A4" s="3" t="s">
        <v>332</v>
      </c>
      <c r="B4" s="5" t="str">
        <f t="shared" si="0"/>
        <v>INLAND_FISHERIES</v>
      </c>
      <c r="C4" s="5" t="str">
        <f t="shared" si="1"/>
        <v>inland_fisheries</v>
      </c>
      <c r="D4" s="3" t="s">
        <v>309</v>
      </c>
      <c r="E4" s="3" t="s">
        <v>308</v>
      </c>
      <c r="F4" s="7">
        <v>0</v>
      </c>
      <c r="G4" s="7">
        <v>3</v>
      </c>
      <c r="H4" s="7">
        <v>99</v>
      </c>
      <c r="I4" s="3" t="s">
        <v>306</v>
      </c>
      <c r="J4" s="3" t="str">
        <f t="shared" si="2"/>
        <v>extraction</v>
      </c>
      <c r="K4" s="3" t="s">
        <v>294</v>
      </c>
      <c r="L4" s="3" t="s">
        <v>295</v>
      </c>
      <c r="M4" s="3" t="s">
        <v>296</v>
      </c>
      <c r="N4" s="3" t="s">
        <v>333</v>
      </c>
      <c r="O4" s="3" t="s">
        <v>334</v>
      </c>
      <c r="P4" s="3" t="s">
        <v>335</v>
      </c>
    </row>
    <row r="5" spans="1:16" s="3" customFormat="1" ht="45" x14ac:dyDescent="0.25">
      <c r="A5" s="3" t="s">
        <v>336</v>
      </c>
      <c r="B5" s="5" t="str">
        <f t="shared" si="0"/>
        <v>OFFSHORE_FISHERIES</v>
      </c>
      <c r="C5" s="5" t="str">
        <f t="shared" si="1"/>
        <v>offshore_fisheries</v>
      </c>
      <c r="D5" s="3" t="s">
        <v>309</v>
      </c>
      <c r="E5" s="3" t="s">
        <v>308</v>
      </c>
      <c r="F5" s="7">
        <v>0</v>
      </c>
      <c r="G5" s="7">
        <v>4</v>
      </c>
      <c r="H5" s="7">
        <v>99</v>
      </c>
      <c r="I5" s="3" t="s">
        <v>306</v>
      </c>
      <c r="J5" s="3" t="str">
        <f t="shared" si="2"/>
        <v>extraction</v>
      </c>
      <c r="K5" s="3" t="s">
        <v>294</v>
      </c>
      <c r="L5" s="3" t="s">
        <v>295</v>
      </c>
      <c r="M5" s="3" t="s">
        <v>296</v>
      </c>
      <c r="N5" s="3" t="s">
        <v>337</v>
      </c>
      <c r="O5" s="3" t="s">
        <v>338</v>
      </c>
      <c r="P5" s="3" t="s">
        <v>339</v>
      </c>
    </row>
    <row r="6" spans="1:16" s="3" customFormat="1" ht="60" x14ac:dyDescent="0.25">
      <c r="A6" s="3" t="s">
        <v>340</v>
      </c>
      <c r="B6" s="5" t="str">
        <f t="shared" si="0"/>
        <v>INLAND_EXCAVATION</v>
      </c>
      <c r="C6" s="5" t="str">
        <f t="shared" si="1"/>
        <v>inland_excavation</v>
      </c>
      <c r="D6" s="3" t="s">
        <v>309</v>
      </c>
      <c r="E6" s="3" t="s">
        <v>308</v>
      </c>
      <c r="F6" s="7">
        <v>0</v>
      </c>
      <c r="G6" s="7">
        <v>5</v>
      </c>
      <c r="H6" s="7">
        <v>6</v>
      </c>
      <c r="I6" s="3" t="s">
        <v>306</v>
      </c>
      <c r="J6" s="3" t="str">
        <f t="shared" si="2"/>
        <v>extraction</v>
      </c>
      <c r="K6" s="3" t="s">
        <v>294</v>
      </c>
      <c r="L6" s="3" t="s">
        <v>295</v>
      </c>
      <c r="M6" s="3" t="s">
        <v>296</v>
      </c>
      <c r="N6" s="3" t="s">
        <v>341</v>
      </c>
      <c r="O6" s="3" t="s">
        <v>342</v>
      </c>
      <c r="P6" s="3" t="s">
        <v>343</v>
      </c>
    </row>
    <row r="7" spans="1:16" s="3" customFormat="1" ht="60" x14ac:dyDescent="0.25">
      <c r="A7" s="3" t="s">
        <v>344</v>
      </c>
      <c r="B7" s="5" t="str">
        <f t="shared" si="0"/>
        <v>OFFSHORE_EXCAVATION</v>
      </c>
      <c r="C7" s="5" t="str">
        <f t="shared" si="1"/>
        <v>offshore_excavation</v>
      </c>
      <c r="D7" s="3" t="s">
        <v>309</v>
      </c>
      <c r="E7" s="3" t="s">
        <v>308</v>
      </c>
      <c r="F7" s="7">
        <v>0</v>
      </c>
      <c r="G7" s="7">
        <v>6</v>
      </c>
      <c r="H7" s="7">
        <v>6</v>
      </c>
      <c r="I7" s="3" t="s">
        <v>306</v>
      </c>
      <c r="J7" s="3" t="str">
        <f t="shared" si="2"/>
        <v>extraction</v>
      </c>
      <c r="K7" s="3" t="s">
        <v>294</v>
      </c>
      <c r="L7" s="3" t="s">
        <v>295</v>
      </c>
      <c r="M7" s="3" t="s">
        <v>296</v>
      </c>
      <c r="N7" s="3" t="s">
        <v>345</v>
      </c>
      <c r="O7" s="3" t="s">
        <v>346</v>
      </c>
      <c r="P7" s="3" t="s">
        <v>347</v>
      </c>
    </row>
    <row r="8" spans="1:16" s="3" customFormat="1" ht="30" x14ac:dyDescent="0.25">
      <c r="A8" s="3" t="s">
        <v>293</v>
      </c>
      <c r="B8" s="5" t="str">
        <f t="shared" si="0"/>
        <v>MINING</v>
      </c>
      <c r="C8" s="5" t="str">
        <f t="shared" si="1"/>
        <v>mining</v>
      </c>
      <c r="D8" s="3" t="s">
        <v>309</v>
      </c>
      <c r="E8" s="3" t="s">
        <v>308</v>
      </c>
      <c r="F8" s="7">
        <v>0</v>
      </c>
      <c r="G8" s="7">
        <v>7</v>
      </c>
      <c r="H8" s="7">
        <v>116</v>
      </c>
      <c r="I8" s="3" t="s">
        <v>306</v>
      </c>
      <c r="J8" s="3" t="str">
        <f t="shared" si="2"/>
        <v>extraction</v>
      </c>
      <c r="K8" s="3" t="s">
        <v>294</v>
      </c>
      <c r="L8" s="3" t="s">
        <v>295</v>
      </c>
      <c r="M8" s="3" t="s">
        <v>296</v>
      </c>
      <c r="N8" s="3" t="s">
        <v>351</v>
      </c>
      <c r="O8" s="3" t="s">
        <v>457</v>
      </c>
      <c r="P8" s="3" t="s">
        <v>300</v>
      </c>
    </row>
    <row r="9" spans="1:16" s="3" customFormat="1" ht="60" x14ac:dyDescent="0.25">
      <c r="A9" s="3" t="s">
        <v>348</v>
      </c>
      <c r="B9" s="5" t="str">
        <f t="shared" si="0"/>
        <v>HUSBANDRY</v>
      </c>
      <c r="C9" s="5" t="str">
        <f t="shared" si="1"/>
        <v>husbandry</v>
      </c>
      <c r="D9" s="3" t="s">
        <v>309</v>
      </c>
      <c r="E9" s="3" t="s">
        <v>308</v>
      </c>
      <c r="F9" s="7">
        <v>0</v>
      </c>
      <c r="G9" s="7">
        <v>8</v>
      </c>
      <c r="H9" s="7">
        <v>107</v>
      </c>
      <c r="I9" s="3" t="s">
        <v>306</v>
      </c>
      <c r="J9" s="3" t="str">
        <f t="shared" si="2"/>
        <v>extraction</v>
      </c>
      <c r="K9" s="3" t="s">
        <v>294</v>
      </c>
      <c r="L9" s="3" t="s">
        <v>295</v>
      </c>
      <c r="M9" s="3" t="s">
        <v>296</v>
      </c>
      <c r="N9" s="3" t="s">
        <v>352</v>
      </c>
      <c r="O9" s="3" t="s">
        <v>355</v>
      </c>
      <c r="P9" s="3" t="s">
        <v>358</v>
      </c>
    </row>
    <row r="10" spans="1:16" s="3" customFormat="1" ht="45" x14ac:dyDescent="0.25">
      <c r="A10" s="3" t="s">
        <v>349</v>
      </c>
      <c r="B10" s="5" t="str">
        <f t="shared" si="0"/>
        <v>CULTIVATION</v>
      </c>
      <c r="C10" s="5" t="str">
        <f t="shared" si="1"/>
        <v>cultivation</v>
      </c>
      <c r="D10" s="3" t="s">
        <v>309</v>
      </c>
      <c r="E10" s="3" t="s">
        <v>308</v>
      </c>
      <c r="F10" s="7">
        <v>0</v>
      </c>
      <c r="G10" s="7">
        <v>9</v>
      </c>
      <c r="H10" s="7">
        <v>51</v>
      </c>
      <c r="I10" s="3" t="s">
        <v>306</v>
      </c>
      <c r="J10" s="3" t="str">
        <f t="shared" si="2"/>
        <v>extraction</v>
      </c>
      <c r="K10" s="3" t="s">
        <v>294</v>
      </c>
      <c r="L10" s="3" t="s">
        <v>295</v>
      </c>
      <c r="M10" s="3" t="s">
        <v>296</v>
      </c>
      <c r="N10" s="3" t="s">
        <v>353</v>
      </c>
      <c r="O10" s="3" t="s">
        <v>356</v>
      </c>
      <c r="P10" s="3" t="s">
        <v>358</v>
      </c>
    </row>
    <row r="11" spans="1:16" s="3" customFormat="1" ht="45" x14ac:dyDescent="0.25">
      <c r="A11" s="3" t="s">
        <v>350</v>
      </c>
      <c r="B11" s="5" t="str">
        <f t="shared" si="0"/>
        <v>FORESTRY</v>
      </c>
      <c r="C11" s="5" t="str">
        <f t="shared" si="1"/>
        <v>forestry</v>
      </c>
      <c r="D11" s="3" t="s">
        <v>309</v>
      </c>
      <c r="E11" s="3" t="s">
        <v>308</v>
      </c>
      <c r="F11" s="7">
        <v>0</v>
      </c>
      <c r="G11" s="7">
        <v>10</v>
      </c>
      <c r="H11" s="7">
        <v>85</v>
      </c>
      <c r="I11" s="3" t="s">
        <v>306</v>
      </c>
      <c r="J11" s="3" t="str">
        <f t="shared" si="2"/>
        <v>extraction</v>
      </c>
      <c r="K11" s="3" t="s">
        <v>294</v>
      </c>
      <c r="L11" s="3" t="s">
        <v>295</v>
      </c>
      <c r="M11" s="3" t="s">
        <v>296</v>
      </c>
      <c r="N11" s="3" t="s">
        <v>354</v>
      </c>
      <c r="O11" s="3" t="s">
        <v>357</v>
      </c>
      <c r="P11" s="3" t="s">
        <v>359</v>
      </c>
    </row>
    <row r="12" spans="1:16" s="3" customFormat="1" ht="105" x14ac:dyDescent="0.25">
      <c r="A12" s="3" t="s">
        <v>389</v>
      </c>
      <c r="B12" s="5" t="str">
        <f t="shared" si="0"/>
        <v>COMPONENTS</v>
      </c>
      <c r="C12" s="5" t="str">
        <f t="shared" si="1"/>
        <v>components</v>
      </c>
      <c r="D12" s="3" t="s">
        <v>309</v>
      </c>
      <c r="E12" s="3" t="s">
        <v>388</v>
      </c>
      <c r="F12" s="7">
        <v>0</v>
      </c>
      <c r="G12" s="7">
        <v>73</v>
      </c>
      <c r="H12" s="7">
        <v>144</v>
      </c>
      <c r="I12" s="3" t="s">
        <v>307</v>
      </c>
      <c r="J12" s="3" t="str">
        <f t="shared" si="2"/>
        <v>manufacturing</v>
      </c>
      <c r="K12" s="3" t="s">
        <v>294</v>
      </c>
      <c r="L12" s="3" t="s">
        <v>295</v>
      </c>
      <c r="M12" s="3" t="s">
        <v>296</v>
      </c>
      <c r="N12" s="3" t="s">
        <v>397</v>
      </c>
      <c r="O12" s="3" t="s">
        <v>391</v>
      </c>
      <c r="P12" s="3" t="s">
        <v>392</v>
      </c>
    </row>
    <row r="13" spans="1:16" s="3" customFormat="1" ht="60" x14ac:dyDescent="0.25">
      <c r="A13" s="3" t="s">
        <v>387</v>
      </c>
      <c r="B13" s="5" t="str">
        <f t="shared" si="0"/>
        <v>CONSUMER_GOODS</v>
      </c>
      <c r="C13" s="5" t="str">
        <f t="shared" si="1"/>
        <v>consumer_goods</v>
      </c>
      <c r="D13" s="3" t="s">
        <v>309</v>
      </c>
      <c r="E13" s="3" t="s">
        <v>388</v>
      </c>
      <c r="F13" s="7">
        <v>0</v>
      </c>
      <c r="G13" s="7">
        <v>74</v>
      </c>
      <c r="H13" s="7">
        <v>37</v>
      </c>
      <c r="I13" s="3" t="s">
        <v>307</v>
      </c>
      <c r="J13" s="3" t="str">
        <f t="shared" si="2"/>
        <v>manufacturing</v>
      </c>
      <c r="K13" s="3" t="s">
        <v>294</v>
      </c>
      <c r="L13" s="3" t="s">
        <v>295</v>
      </c>
      <c r="M13" s="3" t="s">
        <v>296</v>
      </c>
      <c r="N13" s="3" t="s">
        <v>394</v>
      </c>
      <c r="O13" s="3" t="s">
        <v>393</v>
      </c>
      <c r="P13" s="3" t="s">
        <v>392</v>
      </c>
    </row>
    <row r="14" spans="1:16" s="3" customFormat="1" ht="45" x14ac:dyDescent="0.25">
      <c r="A14" s="3" t="s">
        <v>390</v>
      </c>
      <c r="B14" s="5" t="str">
        <f t="shared" si="0"/>
        <v>FOOD_PROCESSING</v>
      </c>
      <c r="C14" s="5" t="str">
        <f t="shared" si="1"/>
        <v>food_processing</v>
      </c>
      <c r="D14" s="3" t="s">
        <v>309</v>
      </c>
      <c r="E14" s="3" t="s">
        <v>388</v>
      </c>
      <c r="F14" s="7">
        <v>0</v>
      </c>
      <c r="G14" s="7">
        <v>75</v>
      </c>
      <c r="H14" s="7">
        <v>87</v>
      </c>
      <c r="I14" s="3" t="s">
        <v>307</v>
      </c>
      <c r="J14" s="3" t="str">
        <f t="shared" si="2"/>
        <v>manufacturing</v>
      </c>
      <c r="K14" s="3" t="s">
        <v>294</v>
      </c>
      <c r="L14" s="3" t="s">
        <v>295</v>
      </c>
      <c r="M14" s="3" t="s">
        <v>296</v>
      </c>
      <c r="N14" s="3" t="s">
        <v>395</v>
      </c>
      <c r="O14" s="3" t="s">
        <v>396</v>
      </c>
      <c r="P14" s="3" t="s">
        <v>363</v>
      </c>
    </row>
    <row r="15" spans="1:16" s="3" customFormat="1" ht="45" x14ac:dyDescent="0.25">
      <c r="A15" s="3" t="s">
        <v>134</v>
      </c>
      <c r="B15" s="5" t="str">
        <f t="shared" si="0"/>
        <v>TEXTILES</v>
      </c>
      <c r="C15" s="5" t="str">
        <f t="shared" si="1"/>
        <v>textiles</v>
      </c>
      <c r="D15" s="3" t="s">
        <v>320</v>
      </c>
      <c r="E15" s="3" t="s">
        <v>388</v>
      </c>
      <c r="F15" s="7">
        <v>0</v>
      </c>
      <c r="G15" s="7">
        <v>76</v>
      </c>
      <c r="H15" s="7">
        <v>92</v>
      </c>
      <c r="I15" s="3" t="s">
        <v>307</v>
      </c>
      <c r="J15" s="3" t="str">
        <f t="shared" si="2"/>
        <v>manufacturing</v>
      </c>
      <c r="K15" s="3" t="s">
        <v>294</v>
      </c>
      <c r="L15" s="3" t="s">
        <v>295</v>
      </c>
      <c r="M15" s="3" t="s">
        <v>296</v>
      </c>
      <c r="N15" s="3" t="s">
        <v>399</v>
      </c>
      <c r="O15" s="3" t="s">
        <v>400</v>
      </c>
      <c r="P15" s="3" t="s">
        <v>363</v>
      </c>
    </row>
    <row r="16" spans="1:16" s="3" customFormat="1" ht="75" x14ac:dyDescent="0.25">
      <c r="A16" s="3" t="s">
        <v>140</v>
      </c>
      <c r="B16" s="5" t="str">
        <f t="shared" si="0"/>
        <v>ENGINEERING_SUPPLIES</v>
      </c>
      <c r="C16" s="5" t="str">
        <f t="shared" si="1"/>
        <v>engineering_supplies</v>
      </c>
      <c r="D16" s="3" t="s">
        <v>309</v>
      </c>
      <c r="E16" s="3" t="s">
        <v>388</v>
      </c>
      <c r="F16" s="7">
        <v>0</v>
      </c>
      <c r="G16" s="7">
        <v>77</v>
      </c>
      <c r="H16" s="7">
        <v>139</v>
      </c>
      <c r="I16" s="3" t="s">
        <v>307</v>
      </c>
      <c r="J16" s="3" t="str">
        <f t="shared" si="2"/>
        <v>manufacturing</v>
      </c>
      <c r="K16" s="3" t="s">
        <v>294</v>
      </c>
      <c r="L16" s="3" t="s">
        <v>295</v>
      </c>
      <c r="M16" s="3" t="s">
        <v>296</v>
      </c>
      <c r="N16" s="3" t="s">
        <v>401</v>
      </c>
      <c r="O16" s="3" t="s">
        <v>398</v>
      </c>
      <c r="P16" s="3" t="s">
        <v>392</v>
      </c>
    </row>
    <row r="17" spans="1:16" s="3" customFormat="1" ht="60" x14ac:dyDescent="0.25">
      <c r="A17" s="3" t="s">
        <v>402</v>
      </c>
      <c r="B17" s="5" t="str">
        <f t="shared" si="0"/>
        <v>FARMING_SUPPLIES</v>
      </c>
      <c r="C17" s="5" t="str">
        <f t="shared" si="1"/>
        <v>farming_supplies</v>
      </c>
      <c r="D17" s="3" t="s">
        <v>309</v>
      </c>
      <c r="E17" s="3" t="s">
        <v>388</v>
      </c>
      <c r="F17" s="7">
        <v>0</v>
      </c>
      <c r="G17" s="7">
        <v>78</v>
      </c>
      <c r="H17" s="7">
        <v>139</v>
      </c>
      <c r="I17" s="3" t="s">
        <v>307</v>
      </c>
      <c r="J17" s="3" t="str">
        <f t="shared" si="2"/>
        <v>manufacturing</v>
      </c>
      <c r="K17" s="3" t="s">
        <v>294</v>
      </c>
      <c r="L17" s="3" t="s">
        <v>295</v>
      </c>
      <c r="M17" s="3" t="s">
        <v>296</v>
      </c>
      <c r="N17" s="3" t="s">
        <v>403</v>
      </c>
      <c r="O17" s="3" t="s">
        <v>398</v>
      </c>
      <c r="P17" s="3" t="s">
        <v>392</v>
      </c>
    </row>
    <row r="18" spans="1:16" s="3" customFormat="1" ht="60" x14ac:dyDescent="0.25">
      <c r="A18" s="3" t="s">
        <v>142</v>
      </c>
      <c r="B18" s="5" t="str">
        <f t="shared" si="0"/>
        <v>MARINE_SUPPLIES</v>
      </c>
      <c r="C18" s="5" t="str">
        <f t="shared" si="1"/>
        <v>marine_supplies</v>
      </c>
      <c r="D18" s="3" t="s">
        <v>309</v>
      </c>
      <c r="E18" s="3" t="s">
        <v>388</v>
      </c>
      <c r="F18" s="7">
        <v>0</v>
      </c>
      <c r="G18" s="7">
        <v>79</v>
      </c>
      <c r="H18" s="7">
        <v>139</v>
      </c>
      <c r="I18" s="3" t="s">
        <v>307</v>
      </c>
      <c r="J18" s="3" t="str">
        <f t="shared" si="2"/>
        <v>manufacturing</v>
      </c>
      <c r="K18" s="3" t="s">
        <v>294</v>
      </c>
      <c r="L18" s="3" t="s">
        <v>295</v>
      </c>
      <c r="M18" s="3" t="s">
        <v>296</v>
      </c>
      <c r="N18" s="3" t="s">
        <v>404</v>
      </c>
      <c r="O18" s="3" t="s">
        <v>398</v>
      </c>
      <c r="P18" s="3" t="s">
        <v>392</v>
      </c>
    </row>
    <row r="19" spans="1:16" s="3" customFormat="1" ht="75" x14ac:dyDescent="0.25">
      <c r="A19" s="3" t="s">
        <v>144</v>
      </c>
      <c r="B19" s="5" t="str">
        <f t="shared" si="0"/>
        <v>MANUFACTURING_SUPPLIES</v>
      </c>
      <c r="C19" s="5" t="str">
        <f t="shared" si="1"/>
        <v>manufacturing_supplies</v>
      </c>
      <c r="D19" s="3" t="s">
        <v>309</v>
      </c>
      <c r="E19" s="3" t="s">
        <v>388</v>
      </c>
      <c r="F19" s="7">
        <v>0</v>
      </c>
      <c r="G19" s="7">
        <v>80</v>
      </c>
      <c r="H19" s="7">
        <v>139</v>
      </c>
      <c r="I19" s="3" t="s">
        <v>307</v>
      </c>
      <c r="J19" s="3" t="str">
        <f t="shared" si="2"/>
        <v>manufacturing</v>
      </c>
      <c r="K19" s="3" t="s">
        <v>294</v>
      </c>
      <c r="L19" s="3" t="s">
        <v>295</v>
      </c>
      <c r="M19" s="3" t="s">
        <v>296</v>
      </c>
      <c r="N19" s="3" t="s">
        <v>405</v>
      </c>
      <c r="O19" s="3" t="s">
        <v>398</v>
      </c>
      <c r="P19" s="3" t="s">
        <v>392</v>
      </c>
    </row>
    <row r="20" spans="1:16" s="3" customFormat="1" ht="75" x14ac:dyDescent="0.25">
      <c r="A20" s="3" t="s">
        <v>136</v>
      </c>
      <c r="B20" s="5" t="str">
        <f t="shared" si="0"/>
        <v>CONSTRUCTION_MATERIALS</v>
      </c>
      <c r="C20" s="5" t="str">
        <f t="shared" si="1"/>
        <v>construction_materials</v>
      </c>
      <c r="D20" s="3" t="s">
        <v>309</v>
      </c>
      <c r="E20" s="3" t="s">
        <v>388</v>
      </c>
      <c r="F20" s="7">
        <v>0</v>
      </c>
      <c r="G20" s="7">
        <v>81</v>
      </c>
      <c r="H20" s="7">
        <v>139</v>
      </c>
      <c r="I20" s="3" t="s">
        <v>307</v>
      </c>
      <c r="J20" s="3" t="str">
        <f t="shared" si="2"/>
        <v>manufacturing</v>
      </c>
      <c r="K20" s="3" t="s">
        <v>294</v>
      </c>
      <c r="L20" s="3" t="s">
        <v>295</v>
      </c>
      <c r="M20" s="3" t="s">
        <v>296</v>
      </c>
      <c r="N20" s="3" t="s">
        <v>406</v>
      </c>
      <c r="O20" s="3" t="s">
        <v>398</v>
      </c>
      <c r="P20" s="3" t="s">
        <v>392</v>
      </c>
    </row>
    <row r="21" spans="1:16" s="3" customFormat="1" ht="45" x14ac:dyDescent="0.25">
      <c r="A21" s="3" t="s">
        <v>360</v>
      </c>
      <c r="B21" s="5" t="str">
        <f t="shared" si="0"/>
        <v>METALS</v>
      </c>
      <c r="C21" s="5" t="str">
        <f t="shared" si="1"/>
        <v>metals</v>
      </c>
      <c r="D21" s="3" t="s">
        <v>309</v>
      </c>
      <c r="E21" s="3" t="s">
        <v>323</v>
      </c>
      <c r="F21" s="7">
        <v>0</v>
      </c>
      <c r="G21" s="7">
        <v>37</v>
      </c>
      <c r="H21" s="7">
        <v>36</v>
      </c>
      <c r="I21" s="3" t="s">
        <v>307</v>
      </c>
      <c r="J21" s="3" t="str">
        <f t="shared" si="2"/>
        <v>processing</v>
      </c>
      <c r="K21" s="3" t="s">
        <v>294</v>
      </c>
      <c r="L21" s="3" t="s">
        <v>295</v>
      </c>
      <c r="M21" s="3" t="s">
        <v>296</v>
      </c>
      <c r="N21" s="3" t="s">
        <v>361</v>
      </c>
      <c r="O21" s="3" t="s">
        <v>372</v>
      </c>
      <c r="P21" s="3" t="s">
        <v>362</v>
      </c>
    </row>
    <row r="22" spans="1:16" s="3" customFormat="1" ht="45" x14ac:dyDescent="0.25">
      <c r="A22" s="3" t="s">
        <v>386</v>
      </c>
      <c r="B22" s="5" t="str">
        <f t="shared" si="0"/>
        <v>PURIFICATION</v>
      </c>
      <c r="C22" s="5" t="str">
        <f t="shared" si="1"/>
        <v>purification</v>
      </c>
      <c r="D22" s="3" t="s">
        <v>309</v>
      </c>
      <c r="E22" s="3" t="s">
        <v>323</v>
      </c>
      <c r="F22" s="7">
        <v>0</v>
      </c>
      <c r="G22" s="7">
        <v>38</v>
      </c>
      <c r="H22" s="7">
        <v>152</v>
      </c>
      <c r="I22" s="3" t="s">
        <v>307</v>
      </c>
      <c r="J22" s="3" t="str">
        <f t="shared" si="2"/>
        <v>processing</v>
      </c>
      <c r="K22" s="3" t="s">
        <v>294</v>
      </c>
      <c r="L22" s="3" t="s">
        <v>295</v>
      </c>
      <c r="M22" s="3" t="s">
        <v>296</v>
      </c>
      <c r="N22" s="3" t="s">
        <v>370</v>
      </c>
      <c r="O22" s="3" t="s">
        <v>371</v>
      </c>
      <c r="P22" s="3" t="s">
        <v>363</v>
      </c>
    </row>
    <row r="23" spans="1:16" s="3" customFormat="1" ht="60" x14ac:dyDescent="0.25">
      <c r="A23" s="3" t="s">
        <v>364</v>
      </c>
      <c r="B23" s="5" t="str">
        <f t="shared" si="0"/>
        <v>REFINEMENT</v>
      </c>
      <c r="C23" s="5" t="str">
        <f t="shared" si="1"/>
        <v>refinement</v>
      </c>
      <c r="D23" s="3" t="s">
        <v>309</v>
      </c>
      <c r="E23" s="3" t="s">
        <v>323</v>
      </c>
      <c r="F23" s="7">
        <v>0</v>
      </c>
      <c r="G23" s="7">
        <v>39</v>
      </c>
      <c r="H23" s="7">
        <v>146</v>
      </c>
      <c r="I23" s="3" t="s">
        <v>307</v>
      </c>
      <c r="J23" s="3" t="str">
        <f t="shared" si="2"/>
        <v>processing</v>
      </c>
      <c r="K23" s="3" t="s">
        <v>294</v>
      </c>
      <c r="L23" s="3" t="s">
        <v>295</v>
      </c>
      <c r="M23" s="3" t="s">
        <v>296</v>
      </c>
      <c r="N23" s="3" t="s">
        <v>373</v>
      </c>
      <c r="O23" s="3" t="s">
        <v>379</v>
      </c>
      <c r="P23" s="3" t="s">
        <v>380</v>
      </c>
    </row>
    <row r="24" spans="1:16" s="3" customFormat="1" ht="45" x14ac:dyDescent="0.25">
      <c r="A24" s="3" t="s">
        <v>365</v>
      </c>
      <c r="B24" s="5" t="str">
        <f t="shared" si="0"/>
        <v>CHEMICALS</v>
      </c>
      <c r="C24" s="5" t="str">
        <f t="shared" si="1"/>
        <v>chemicals</v>
      </c>
      <c r="D24" s="3" t="s">
        <v>309</v>
      </c>
      <c r="E24" s="3" t="s">
        <v>323</v>
      </c>
      <c r="F24" s="7">
        <v>0</v>
      </c>
      <c r="G24" s="7">
        <v>40</v>
      </c>
      <c r="H24" s="7">
        <v>81</v>
      </c>
      <c r="I24" s="3" t="s">
        <v>307</v>
      </c>
      <c r="J24" s="3" t="str">
        <f t="shared" si="2"/>
        <v>processing</v>
      </c>
      <c r="K24" s="3" t="s">
        <v>294</v>
      </c>
      <c r="L24" s="3" t="s">
        <v>295</v>
      </c>
      <c r="M24" s="3" t="s">
        <v>296</v>
      </c>
      <c r="N24" s="3" t="s">
        <v>374</v>
      </c>
      <c r="O24" s="3" t="s">
        <v>381</v>
      </c>
      <c r="P24" s="3" t="s">
        <v>363</v>
      </c>
    </row>
    <row r="25" spans="1:16" s="3" customFormat="1" ht="45" x14ac:dyDescent="0.25">
      <c r="A25" s="3" t="s">
        <v>368</v>
      </c>
      <c r="B25" s="5" t="str">
        <f t="shared" si="0"/>
        <v>MATERIALS</v>
      </c>
      <c r="C25" s="5" t="str">
        <f t="shared" si="1"/>
        <v>materials</v>
      </c>
      <c r="D25" s="3" t="s">
        <v>309</v>
      </c>
      <c r="E25" s="3" t="s">
        <v>323</v>
      </c>
      <c r="F25" s="7">
        <v>0</v>
      </c>
      <c r="G25" s="7">
        <v>41</v>
      </c>
      <c r="H25" s="7">
        <v>58</v>
      </c>
      <c r="I25" s="3" t="s">
        <v>307</v>
      </c>
      <c r="J25" s="3" t="str">
        <f t="shared" si="2"/>
        <v>processing</v>
      </c>
      <c r="K25" s="3" t="s">
        <v>294</v>
      </c>
      <c r="L25" s="3" t="s">
        <v>295</v>
      </c>
      <c r="M25" s="3" t="s">
        <v>296</v>
      </c>
      <c r="N25" s="3" t="s">
        <v>375</v>
      </c>
      <c r="O25" s="3" t="s">
        <v>382</v>
      </c>
      <c r="P25" s="3" t="s">
        <v>363</v>
      </c>
    </row>
    <row r="26" spans="1:16" s="3" customFormat="1" ht="105" x14ac:dyDescent="0.25">
      <c r="A26" s="3" t="s">
        <v>366</v>
      </c>
      <c r="B26" s="5" t="str">
        <f t="shared" si="0"/>
        <v>PRODUCTS</v>
      </c>
      <c r="C26" s="5" t="str">
        <f t="shared" si="1"/>
        <v>products</v>
      </c>
      <c r="D26" s="3" t="s">
        <v>309</v>
      </c>
      <c r="E26" s="3" t="s">
        <v>323</v>
      </c>
      <c r="F26" s="7">
        <v>0</v>
      </c>
      <c r="G26" s="7">
        <v>42</v>
      </c>
      <c r="H26" s="7">
        <v>166</v>
      </c>
      <c r="I26" s="3" t="s">
        <v>307</v>
      </c>
      <c r="J26" s="3" t="str">
        <f t="shared" si="2"/>
        <v>processing</v>
      </c>
      <c r="K26" s="3" t="s">
        <v>294</v>
      </c>
      <c r="L26" s="3" t="s">
        <v>295</v>
      </c>
      <c r="M26" s="3" t="s">
        <v>296</v>
      </c>
      <c r="N26" s="3" t="s">
        <v>376</v>
      </c>
      <c r="O26" s="3" t="s">
        <v>383</v>
      </c>
      <c r="P26" s="3" t="s">
        <v>363</v>
      </c>
    </row>
    <row r="27" spans="1:16" s="3" customFormat="1" ht="45" x14ac:dyDescent="0.25">
      <c r="A27" s="3" t="s">
        <v>367</v>
      </c>
      <c r="B27" s="5" t="str">
        <f t="shared" si="0"/>
        <v>RECLAMATION</v>
      </c>
      <c r="C27" s="5" t="str">
        <f t="shared" si="1"/>
        <v>reclamation</v>
      </c>
      <c r="D27" s="3" t="s">
        <v>309</v>
      </c>
      <c r="E27" s="3" t="s">
        <v>323</v>
      </c>
      <c r="F27" s="7">
        <v>0</v>
      </c>
      <c r="G27" s="7">
        <v>43</v>
      </c>
      <c r="H27" s="7">
        <v>59</v>
      </c>
      <c r="I27" s="3" t="s">
        <v>307</v>
      </c>
      <c r="J27" s="3" t="str">
        <f t="shared" si="2"/>
        <v>processing</v>
      </c>
      <c r="K27" s="3" t="s">
        <v>294</v>
      </c>
      <c r="L27" s="3" t="s">
        <v>295</v>
      </c>
      <c r="M27" s="3" t="s">
        <v>296</v>
      </c>
      <c r="N27" s="3" t="s">
        <v>377</v>
      </c>
      <c r="O27" s="3" t="s">
        <v>384</v>
      </c>
      <c r="P27" s="3" t="s">
        <v>363</v>
      </c>
    </row>
    <row r="28" spans="1:16" s="3" customFormat="1" ht="45" x14ac:dyDescent="0.25">
      <c r="A28" s="3" t="s">
        <v>369</v>
      </c>
      <c r="B28" s="5" t="str">
        <f t="shared" si="0"/>
        <v>ENRICHMENT</v>
      </c>
      <c r="C28" s="5" t="str">
        <f t="shared" si="1"/>
        <v>enrichment</v>
      </c>
      <c r="D28" s="3" t="s">
        <v>309</v>
      </c>
      <c r="E28" s="3" t="s">
        <v>323</v>
      </c>
      <c r="F28" s="7">
        <v>0</v>
      </c>
      <c r="G28" s="7">
        <v>44</v>
      </c>
      <c r="H28" s="7">
        <v>171</v>
      </c>
      <c r="I28" s="3" t="s">
        <v>307</v>
      </c>
      <c r="J28" s="3" t="str">
        <f t="shared" si="2"/>
        <v>processing</v>
      </c>
      <c r="K28" s="3" t="s">
        <v>294</v>
      </c>
      <c r="L28" s="3" t="s">
        <v>295</v>
      </c>
      <c r="M28" s="3" t="s">
        <v>296</v>
      </c>
      <c r="N28" s="3" t="s">
        <v>378</v>
      </c>
      <c r="O28" s="3" t="s">
        <v>385</v>
      </c>
      <c r="P28" s="3" t="s">
        <v>363</v>
      </c>
    </row>
    <row r="29" spans="1:16" ht="75" x14ac:dyDescent="0.25">
      <c r="A29" s="2" t="s">
        <v>525</v>
      </c>
      <c r="B29" s="5" t="str">
        <f t="shared" si="0"/>
        <v>EXPLOSIVES</v>
      </c>
      <c r="C29" s="5" t="str">
        <f t="shared" si="1"/>
        <v>explosives</v>
      </c>
      <c r="D29" s="2" t="s">
        <v>309</v>
      </c>
      <c r="E29" s="2" t="s">
        <v>388</v>
      </c>
      <c r="F29" s="8">
        <v>0</v>
      </c>
      <c r="G29" s="8">
        <v>82</v>
      </c>
      <c r="H29" s="8">
        <v>148</v>
      </c>
      <c r="I29" s="2" t="s">
        <v>307</v>
      </c>
      <c r="J29" s="3" t="str">
        <f t="shared" si="2"/>
        <v>manufacturing</v>
      </c>
      <c r="K29" s="2" t="s">
        <v>294</v>
      </c>
      <c r="L29" s="2" t="s">
        <v>295</v>
      </c>
      <c r="M29" s="2" t="s">
        <v>296</v>
      </c>
      <c r="N29" s="3" t="s">
        <v>534</v>
      </c>
      <c r="O29" s="3" t="s">
        <v>533</v>
      </c>
      <c r="P29" s="3" t="s">
        <v>392</v>
      </c>
    </row>
    <row r="30" spans="1:16" ht="30" x14ac:dyDescent="0.25">
      <c r="A30" s="2" t="s">
        <v>548</v>
      </c>
      <c r="B30" s="5" t="str">
        <f t="shared" si="0"/>
        <v>RETAIL</v>
      </c>
      <c r="C30" s="5" t="str">
        <f t="shared" si="1"/>
        <v>retail</v>
      </c>
      <c r="D30" s="2" t="s">
        <v>320</v>
      </c>
      <c r="E30" s="2" t="s">
        <v>462</v>
      </c>
      <c r="F30" s="8">
        <v>0</v>
      </c>
      <c r="G30" s="8">
        <v>250</v>
      </c>
      <c r="I30" s="2" t="s">
        <v>307</v>
      </c>
      <c r="J30" s="3" t="str">
        <f t="shared" si="2"/>
        <v>distribution</v>
      </c>
      <c r="N30" s="3" t="s">
        <v>549</v>
      </c>
    </row>
  </sheetData>
  <autoFilter ref="A1:P28" xr:uid="{1B42E960-D72E-48CD-A396-7A854E37C965}">
    <sortState xmlns:xlrd2="http://schemas.microsoft.com/office/spreadsheetml/2017/richdata2" ref="A2:P28">
      <sortCondition ref="E1:E2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41CEA-A651-463C-86AF-189D43CE7E9D}">
  <dimension ref="A1:L4"/>
  <sheetViews>
    <sheetView zoomScale="85" zoomScaleNormal="85"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1" width="20.140625" style="2" customWidth="1"/>
    <col min="2" max="2" width="22.85546875" customWidth="1"/>
    <col min="3" max="3" width="20.140625" customWidth="1"/>
    <col min="4" max="5" width="20.140625" style="2" customWidth="1"/>
    <col min="6" max="6" width="20.140625" style="8" customWidth="1"/>
    <col min="7" max="7" width="6.140625" style="8" customWidth="1"/>
    <col min="8" max="8" width="25.42578125" style="2" customWidth="1"/>
    <col min="9" max="16384" width="9.140625" style="2"/>
  </cols>
  <sheetData>
    <row r="1" spans="1:12" s="1" customFormat="1" x14ac:dyDescent="0.25">
      <c r="A1" s="1" t="s">
        <v>550</v>
      </c>
      <c r="B1" s="4" t="s">
        <v>283</v>
      </c>
      <c r="C1" s="4" t="s">
        <v>151</v>
      </c>
      <c r="D1" s="1" t="s">
        <v>152</v>
      </c>
      <c r="E1" s="1" t="s">
        <v>322</v>
      </c>
      <c r="F1" s="6" t="s">
        <v>321</v>
      </c>
      <c r="G1" s="6" t="s">
        <v>551</v>
      </c>
      <c r="H1" s="1" t="s">
        <v>553</v>
      </c>
      <c r="I1" s="1" t="s">
        <v>552</v>
      </c>
      <c r="J1" s="1" t="s">
        <v>555</v>
      </c>
      <c r="K1" s="1" t="s">
        <v>556</v>
      </c>
      <c r="L1" s="1" t="s">
        <v>554</v>
      </c>
    </row>
    <row r="2" spans="1:12" x14ac:dyDescent="0.25">
      <c r="A2" s="2" t="s">
        <v>548</v>
      </c>
      <c r="B2" s="5" t="str">
        <f t="shared" ref="B2:B3" si="0">UPPER(A2)</f>
        <v>RETAIL</v>
      </c>
      <c r="C2" s="5" t="str">
        <f t="shared" ref="C2:C3" si="1">A2</f>
        <v>retail</v>
      </c>
      <c r="D2" s="2" t="s">
        <v>309</v>
      </c>
      <c r="E2" s="2" t="s">
        <v>462</v>
      </c>
      <c r="F2" s="8">
        <v>0</v>
      </c>
      <c r="G2" s="8">
        <v>250</v>
      </c>
      <c r="H2" s="2" t="s">
        <v>307</v>
      </c>
      <c r="I2" s="2" t="s">
        <v>296</v>
      </c>
      <c r="J2" s="2" t="s">
        <v>557</v>
      </c>
      <c r="K2" s="2" t="s">
        <v>557</v>
      </c>
      <c r="L2" s="2" t="s">
        <v>562</v>
      </c>
    </row>
    <row r="3" spans="1:12" x14ac:dyDescent="0.25">
      <c r="A3" s="2" t="s">
        <v>563</v>
      </c>
      <c r="B3" s="5" t="str">
        <f t="shared" si="0"/>
        <v>SERVICES</v>
      </c>
      <c r="C3" s="5" t="str">
        <f t="shared" si="1"/>
        <v>services</v>
      </c>
      <c r="D3" s="2" t="s">
        <v>309</v>
      </c>
      <c r="E3" s="2" t="s">
        <v>462</v>
      </c>
      <c r="F3" s="8">
        <v>0</v>
      </c>
      <c r="G3" s="8">
        <v>251</v>
      </c>
      <c r="H3" s="2" t="s">
        <v>307</v>
      </c>
      <c r="I3" s="2" t="s">
        <v>296</v>
      </c>
      <c r="J3" s="2" t="s">
        <v>557</v>
      </c>
      <c r="K3" s="2" t="s">
        <v>557</v>
      </c>
      <c r="L3" s="2" t="s">
        <v>564</v>
      </c>
    </row>
    <row r="4" spans="1:12" x14ac:dyDescent="0.25">
      <c r="A4" s="2" t="s">
        <v>565</v>
      </c>
      <c r="B4" s="5" t="str">
        <f t="shared" ref="B4" si="2">UPPER(A4)</f>
        <v>RESIDENTIAL</v>
      </c>
      <c r="C4" s="5" t="str">
        <f t="shared" ref="C4" si="3">A4</f>
        <v>residential</v>
      </c>
      <c r="D4" s="2" t="s">
        <v>309</v>
      </c>
      <c r="E4" s="2" t="s">
        <v>462</v>
      </c>
      <c r="F4" s="8">
        <v>0</v>
      </c>
      <c r="G4" s="8">
        <v>252</v>
      </c>
      <c r="H4" s="2" t="s">
        <v>307</v>
      </c>
      <c r="I4" s="2" t="s">
        <v>296</v>
      </c>
      <c r="J4" s="2" t="s">
        <v>557</v>
      </c>
      <c r="K4" s="2" t="s">
        <v>557</v>
      </c>
      <c r="L4" s="2" t="s">
        <v>566</v>
      </c>
    </row>
  </sheetData>
  <autoFilter ref="A1:K1" xr:uid="{1B42E960-D72E-48CD-A396-7A854E37C965}">
    <sortState xmlns:xlrd2="http://schemas.microsoft.com/office/spreadsheetml/2017/richdata2" ref="A2:K1">
      <sortCondition ref="E1"/>
    </sortState>
  </autoFilter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755C0-10BE-42F8-84BF-CEB35B568EF4}">
  <dimension ref="A1:D32"/>
  <sheetViews>
    <sheetView zoomScale="85" zoomScaleNormal="85" workbookViewId="0">
      <selection activeCell="F17" sqref="F17"/>
    </sheetView>
  </sheetViews>
  <sheetFormatPr defaultRowHeight="15" x14ac:dyDescent="0.25"/>
  <cols>
    <col min="1" max="2" width="16" style="2" customWidth="1"/>
    <col min="3" max="3" width="14.28515625" style="2" bestFit="1" customWidth="1"/>
    <col min="4" max="4" width="14.28515625" style="2" customWidth="1"/>
    <col min="5" max="16384" width="9.140625" style="2"/>
  </cols>
  <sheetData>
    <row r="1" spans="1:4" s="1" customFormat="1" x14ac:dyDescent="0.25">
      <c r="A1" s="1" t="s">
        <v>301</v>
      </c>
      <c r="B1" s="1" t="s">
        <v>558</v>
      </c>
      <c r="C1" s="1" t="s">
        <v>302</v>
      </c>
      <c r="D1" s="1" t="s">
        <v>559</v>
      </c>
    </row>
    <row r="2" spans="1:4" s="3" customFormat="1" x14ac:dyDescent="0.25">
      <c r="A2" s="3" t="s">
        <v>23</v>
      </c>
      <c r="B2" s="3" t="s">
        <v>561</v>
      </c>
      <c r="C2" s="3" t="s">
        <v>23</v>
      </c>
      <c r="D2" s="3" t="s">
        <v>560</v>
      </c>
    </row>
    <row r="3" spans="1:4" s="3" customFormat="1" x14ac:dyDescent="0.25">
      <c r="A3" s="3" t="s">
        <v>29</v>
      </c>
      <c r="B3" s="3" t="s">
        <v>561</v>
      </c>
      <c r="C3" s="3" t="s">
        <v>29</v>
      </c>
      <c r="D3" s="3" t="s">
        <v>428</v>
      </c>
    </row>
    <row r="4" spans="1:4" s="3" customFormat="1" x14ac:dyDescent="0.25">
      <c r="A4" s="3" t="s">
        <v>32</v>
      </c>
      <c r="B4" s="3" t="s">
        <v>561</v>
      </c>
      <c r="C4" s="3" t="s">
        <v>32</v>
      </c>
      <c r="D4" s="3" t="s">
        <v>428</v>
      </c>
    </row>
    <row r="5" spans="1:4" s="3" customFormat="1" x14ac:dyDescent="0.25">
      <c r="A5" s="3" t="s">
        <v>126</v>
      </c>
      <c r="B5" s="3" t="s">
        <v>561</v>
      </c>
      <c r="C5" s="3" t="s">
        <v>34</v>
      </c>
      <c r="D5" s="3" t="s">
        <v>428</v>
      </c>
    </row>
    <row r="6" spans="1:4" s="3" customFormat="1" x14ac:dyDescent="0.25">
      <c r="A6" s="3" t="s">
        <v>129</v>
      </c>
      <c r="B6" s="3" t="s">
        <v>561</v>
      </c>
      <c r="C6" s="3" t="s">
        <v>38</v>
      </c>
      <c r="D6" s="3" t="s">
        <v>428</v>
      </c>
    </row>
    <row r="7" spans="1:4" s="3" customFormat="1" x14ac:dyDescent="0.25">
      <c r="A7" s="3" t="s">
        <v>86</v>
      </c>
      <c r="B7" s="3" t="s">
        <v>561</v>
      </c>
    </row>
    <row r="8" spans="1:4" s="3" customFormat="1" x14ac:dyDescent="0.25">
      <c r="A8" s="3" t="s">
        <v>133</v>
      </c>
      <c r="B8" s="3" t="s">
        <v>561</v>
      </c>
    </row>
    <row r="9" spans="1:4" s="3" customFormat="1" x14ac:dyDescent="0.25">
      <c r="A9" s="3" t="s">
        <v>131</v>
      </c>
      <c r="B9" s="3" t="s">
        <v>561</v>
      </c>
    </row>
    <row r="10" spans="1:4" s="3" customFormat="1" x14ac:dyDescent="0.25">
      <c r="A10" s="3" t="s">
        <v>137</v>
      </c>
      <c r="B10" s="3" t="s">
        <v>561</v>
      </c>
    </row>
    <row r="11" spans="1:4" s="3" customFormat="1" x14ac:dyDescent="0.25"/>
    <row r="12" spans="1:4" s="3" customFormat="1" x14ac:dyDescent="0.25"/>
    <row r="13" spans="1:4" s="3" customFormat="1" x14ac:dyDescent="0.25"/>
    <row r="14" spans="1:4" s="3" customFormat="1" x14ac:dyDescent="0.25"/>
    <row r="15" spans="1:4" s="3" customFormat="1" x14ac:dyDescent="0.25"/>
    <row r="16" spans="1:4" s="3" customFormat="1" x14ac:dyDescent="0.25"/>
    <row r="17" spans="3:4" s="3" customFormat="1" x14ac:dyDescent="0.25"/>
    <row r="18" spans="3:4" s="3" customFormat="1" x14ac:dyDescent="0.25"/>
    <row r="19" spans="3:4" s="3" customFormat="1" x14ac:dyDescent="0.25"/>
    <row r="20" spans="3:4" s="3" customFormat="1" x14ac:dyDescent="0.25"/>
    <row r="21" spans="3:4" s="3" customFormat="1" x14ac:dyDescent="0.25"/>
    <row r="22" spans="3:4" s="3" customFormat="1" x14ac:dyDescent="0.25">
      <c r="C22" s="2"/>
      <c r="D22" s="2"/>
    </row>
    <row r="23" spans="3:4" s="3" customFormat="1" x14ac:dyDescent="0.25">
      <c r="C23" s="2"/>
      <c r="D23" s="2"/>
    </row>
    <row r="24" spans="3:4" s="3" customFormat="1" x14ac:dyDescent="0.25">
      <c r="C24" s="2"/>
      <c r="D24" s="2"/>
    </row>
    <row r="25" spans="3:4" s="3" customFormat="1" x14ac:dyDescent="0.25">
      <c r="C25" s="2"/>
      <c r="D25" s="2"/>
    </row>
    <row r="26" spans="3:4" s="3" customFormat="1" x14ac:dyDescent="0.25">
      <c r="C26" s="2"/>
      <c r="D26" s="2"/>
    </row>
    <row r="27" spans="3:4" s="3" customFormat="1" x14ac:dyDescent="0.25">
      <c r="C27" s="2"/>
      <c r="D27" s="2"/>
    </row>
    <row r="28" spans="3:4" s="3" customFormat="1" x14ac:dyDescent="0.25">
      <c r="C28" s="2"/>
      <c r="D28" s="2"/>
    </row>
    <row r="29" spans="3:4" s="3" customFormat="1" x14ac:dyDescent="0.25">
      <c r="C29" s="2"/>
      <c r="D29" s="2"/>
    </row>
    <row r="30" spans="3:4" s="3" customFormat="1" x14ac:dyDescent="0.25">
      <c r="C30" s="2"/>
      <c r="D30" s="2"/>
    </row>
    <row r="31" spans="3:4" s="3" customFormat="1" x14ac:dyDescent="0.25">
      <c r="C31" s="2"/>
      <c r="D31" s="2"/>
    </row>
    <row r="32" spans="3:4" s="3" customFormat="1" x14ac:dyDescent="0.25">
      <c r="C32" s="2"/>
      <c r="D3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D3DD-8DD8-4C0C-BD42-7027135D7500}">
  <dimension ref="A1:D32"/>
  <sheetViews>
    <sheetView zoomScale="85" zoomScaleNormal="85" workbookViewId="0">
      <selection activeCell="D9" sqref="D9"/>
    </sheetView>
  </sheetViews>
  <sheetFormatPr defaultRowHeight="15" x14ac:dyDescent="0.25"/>
  <cols>
    <col min="1" max="2" width="16" style="2" customWidth="1"/>
    <col min="3" max="3" width="14.28515625" style="2" bestFit="1" customWidth="1"/>
    <col min="4" max="4" width="14.28515625" style="2" customWidth="1"/>
    <col min="5" max="16384" width="9.140625" style="2"/>
  </cols>
  <sheetData>
    <row r="1" spans="1:4" s="1" customFormat="1" x14ac:dyDescent="0.25">
      <c r="A1" s="1" t="s">
        <v>301</v>
      </c>
      <c r="B1" s="1" t="s">
        <v>558</v>
      </c>
      <c r="C1" s="1" t="s">
        <v>302</v>
      </c>
      <c r="D1" s="1" t="s">
        <v>559</v>
      </c>
    </row>
    <row r="2" spans="1:4" s="3" customFormat="1" x14ac:dyDescent="0.25">
      <c r="A2" s="3" t="s">
        <v>23</v>
      </c>
      <c r="B2" s="3" t="s">
        <v>561</v>
      </c>
      <c r="C2" s="3" t="s">
        <v>23</v>
      </c>
      <c r="D2" s="3" t="s">
        <v>560</v>
      </c>
    </row>
    <row r="3" spans="1:4" s="3" customFormat="1" x14ac:dyDescent="0.25">
      <c r="A3" s="3" t="s">
        <v>29</v>
      </c>
      <c r="B3" s="3" t="s">
        <v>561</v>
      </c>
      <c r="C3" s="3" t="s">
        <v>29</v>
      </c>
      <c r="D3" s="3" t="s">
        <v>428</v>
      </c>
    </row>
    <row r="4" spans="1:4" s="3" customFormat="1" x14ac:dyDescent="0.25">
      <c r="A4" s="3" t="s">
        <v>32</v>
      </c>
      <c r="B4" s="3" t="s">
        <v>561</v>
      </c>
      <c r="C4" s="3" t="s">
        <v>32</v>
      </c>
      <c r="D4" s="3" t="s">
        <v>428</v>
      </c>
    </row>
    <row r="5" spans="1:4" s="3" customFormat="1" x14ac:dyDescent="0.25">
      <c r="A5" s="3" t="s">
        <v>126</v>
      </c>
      <c r="B5" s="3" t="s">
        <v>561</v>
      </c>
      <c r="C5" s="3" t="s">
        <v>34</v>
      </c>
      <c r="D5" s="3" t="s">
        <v>428</v>
      </c>
    </row>
    <row r="6" spans="1:4" s="3" customFormat="1" x14ac:dyDescent="0.25">
      <c r="A6" s="3" t="s">
        <v>131</v>
      </c>
      <c r="B6" s="3" t="s">
        <v>561</v>
      </c>
      <c r="C6" s="3" t="s">
        <v>38</v>
      </c>
      <c r="D6" s="3" t="s">
        <v>428</v>
      </c>
    </row>
    <row r="7" spans="1:4" s="3" customFormat="1" x14ac:dyDescent="0.25">
      <c r="A7" s="3" t="s">
        <v>133</v>
      </c>
      <c r="B7" s="3" t="s">
        <v>561</v>
      </c>
    </row>
    <row r="8" spans="1:4" s="3" customFormat="1" x14ac:dyDescent="0.25">
      <c r="A8" s="3" t="s">
        <v>86</v>
      </c>
      <c r="B8" s="3" t="s">
        <v>561</v>
      </c>
    </row>
    <row r="9" spans="1:4" s="3" customFormat="1" x14ac:dyDescent="0.25"/>
    <row r="10" spans="1:4" s="3" customFormat="1" x14ac:dyDescent="0.25"/>
    <row r="11" spans="1:4" s="3" customFormat="1" x14ac:dyDescent="0.25"/>
    <row r="12" spans="1:4" s="3" customFormat="1" x14ac:dyDescent="0.25"/>
    <row r="13" spans="1:4" s="3" customFormat="1" x14ac:dyDescent="0.25"/>
    <row r="14" spans="1:4" s="3" customFormat="1" x14ac:dyDescent="0.25"/>
    <row r="15" spans="1:4" s="3" customFormat="1" x14ac:dyDescent="0.25"/>
    <row r="16" spans="1:4" s="3" customFormat="1" x14ac:dyDescent="0.25"/>
    <row r="17" spans="3:4" s="3" customFormat="1" x14ac:dyDescent="0.25"/>
    <row r="18" spans="3:4" s="3" customFormat="1" x14ac:dyDescent="0.25"/>
    <row r="19" spans="3:4" s="3" customFormat="1" x14ac:dyDescent="0.25"/>
    <row r="20" spans="3:4" s="3" customFormat="1" x14ac:dyDescent="0.25"/>
    <row r="21" spans="3:4" s="3" customFormat="1" x14ac:dyDescent="0.25"/>
    <row r="22" spans="3:4" s="3" customFormat="1" x14ac:dyDescent="0.25">
      <c r="C22" s="2"/>
      <c r="D22" s="2"/>
    </row>
    <row r="23" spans="3:4" s="3" customFormat="1" x14ac:dyDescent="0.25">
      <c r="C23" s="2"/>
      <c r="D23" s="2"/>
    </row>
    <row r="24" spans="3:4" s="3" customFormat="1" x14ac:dyDescent="0.25">
      <c r="C24" s="2"/>
      <c r="D24" s="2"/>
    </row>
    <row r="25" spans="3:4" s="3" customFormat="1" x14ac:dyDescent="0.25">
      <c r="C25" s="2"/>
      <c r="D25" s="2"/>
    </row>
    <row r="26" spans="3:4" s="3" customFormat="1" x14ac:dyDescent="0.25">
      <c r="C26" s="2"/>
      <c r="D26" s="2"/>
    </row>
    <row r="27" spans="3:4" s="3" customFormat="1" x14ac:dyDescent="0.25">
      <c r="C27" s="2"/>
      <c r="D27" s="2"/>
    </row>
    <row r="28" spans="3:4" s="3" customFormat="1" x14ac:dyDescent="0.25">
      <c r="C28" s="2"/>
      <c r="D28" s="2"/>
    </row>
    <row r="29" spans="3:4" s="3" customFormat="1" x14ac:dyDescent="0.25">
      <c r="C29" s="2"/>
      <c r="D29" s="2"/>
    </row>
    <row r="30" spans="3:4" s="3" customFormat="1" x14ac:dyDescent="0.25">
      <c r="C30" s="2"/>
      <c r="D30" s="2"/>
    </row>
    <row r="31" spans="3:4" s="3" customFormat="1" x14ac:dyDescent="0.25">
      <c r="C31" s="2"/>
      <c r="D31" s="2"/>
    </row>
    <row r="32" spans="3:4" s="3" customFormat="1" x14ac:dyDescent="0.25">
      <c r="C32" s="2"/>
      <c r="D3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7DA83-96FE-4469-AF5F-C5B62A6D118D}">
  <dimension ref="A1:D32"/>
  <sheetViews>
    <sheetView tabSelected="1" zoomScale="85" zoomScaleNormal="85" workbookViewId="0">
      <selection activeCell="B15" sqref="B15"/>
    </sheetView>
  </sheetViews>
  <sheetFormatPr defaultRowHeight="15" x14ac:dyDescent="0.25"/>
  <cols>
    <col min="1" max="2" width="16" style="2" customWidth="1"/>
    <col min="3" max="3" width="14.28515625" style="2" bestFit="1" customWidth="1"/>
    <col min="4" max="4" width="14.28515625" style="2" customWidth="1"/>
    <col min="5" max="16384" width="9.140625" style="2"/>
  </cols>
  <sheetData>
    <row r="1" spans="1:4" s="1" customFormat="1" x14ac:dyDescent="0.25">
      <c r="A1" s="1" t="s">
        <v>301</v>
      </c>
      <c r="B1" s="1" t="s">
        <v>558</v>
      </c>
      <c r="C1" s="1" t="s">
        <v>302</v>
      </c>
      <c r="D1" s="1" t="s">
        <v>559</v>
      </c>
    </row>
    <row r="2" spans="1:4" s="3" customFormat="1" x14ac:dyDescent="0.25">
      <c r="A2" s="3" t="s">
        <v>23</v>
      </c>
      <c r="B2" s="3" t="s">
        <v>561</v>
      </c>
      <c r="C2" s="3" t="s">
        <v>23</v>
      </c>
      <c r="D2" s="3" t="s">
        <v>560</v>
      </c>
    </row>
    <row r="3" spans="1:4" s="3" customFormat="1" x14ac:dyDescent="0.25">
      <c r="A3" s="3" t="s">
        <v>29</v>
      </c>
      <c r="B3" s="3" t="s">
        <v>561</v>
      </c>
      <c r="C3" s="3" t="s">
        <v>29</v>
      </c>
      <c r="D3" s="3" t="s">
        <v>428</v>
      </c>
    </row>
    <row r="4" spans="1:4" s="3" customFormat="1" x14ac:dyDescent="0.25">
      <c r="A4" s="3" t="s">
        <v>32</v>
      </c>
      <c r="B4" s="3" t="s">
        <v>561</v>
      </c>
      <c r="C4" s="3" t="s">
        <v>32</v>
      </c>
      <c r="D4" s="3" t="s">
        <v>428</v>
      </c>
    </row>
    <row r="5" spans="1:4" s="3" customFormat="1" x14ac:dyDescent="0.25">
      <c r="C5" s="3" t="s">
        <v>34</v>
      </c>
      <c r="D5" s="3" t="s">
        <v>428</v>
      </c>
    </row>
    <row r="6" spans="1:4" s="3" customFormat="1" x14ac:dyDescent="0.25">
      <c r="C6" s="3" t="s">
        <v>38</v>
      </c>
      <c r="D6" s="3" t="s">
        <v>428</v>
      </c>
    </row>
    <row r="7" spans="1:4" s="3" customFormat="1" x14ac:dyDescent="0.25"/>
    <row r="8" spans="1:4" s="3" customFormat="1" x14ac:dyDescent="0.25"/>
    <row r="9" spans="1:4" s="3" customFormat="1" x14ac:dyDescent="0.25"/>
    <row r="10" spans="1:4" s="3" customFormat="1" x14ac:dyDescent="0.25"/>
    <row r="11" spans="1:4" s="3" customFormat="1" x14ac:dyDescent="0.25"/>
    <row r="12" spans="1:4" s="3" customFormat="1" x14ac:dyDescent="0.25"/>
    <row r="13" spans="1:4" s="3" customFormat="1" x14ac:dyDescent="0.25"/>
    <row r="14" spans="1:4" s="3" customFormat="1" x14ac:dyDescent="0.25"/>
    <row r="15" spans="1:4" s="3" customFormat="1" x14ac:dyDescent="0.25"/>
    <row r="16" spans="1:4" s="3" customFormat="1" x14ac:dyDescent="0.25"/>
    <row r="17" spans="3:4" s="3" customFormat="1" x14ac:dyDescent="0.25"/>
    <row r="18" spans="3:4" s="3" customFormat="1" x14ac:dyDescent="0.25"/>
    <row r="19" spans="3:4" s="3" customFormat="1" x14ac:dyDescent="0.25"/>
    <row r="20" spans="3:4" s="3" customFormat="1" x14ac:dyDescent="0.25"/>
    <row r="21" spans="3:4" s="3" customFormat="1" x14ac:dyDescent="0.25"/>
    <row r="22" spans="3:4" s="3" customFormat="1" x14ac:dyDescent="0.25">
      <c r="C22" s="2"/>
      <c r="D22" s="2"/>
    </row>
    <row r="23" spans="3:4" s="3" customFormat="1" x14ac:dyDescent="0.25">
      <c r="C23" s="2"/>
      <c r="D23" s="2"/>
    </row>
    <row r="24" spans="3:4" s="3" customFormat="1" x14ac:dyDescent="0.25">
      <c r="C24" s="2"/>
      <c r="D24" s="2"/>
    </row>
    <row r="25" spans="3:4" s="3" customFormat="1" x14ac:dyDescent="0.25">
      <c r="C25" s="2"/>
      <c r="D25" s="2"/>
    </row>
    <row r="26" spans="3:4" s="3" customFormat="1" x14ac:dyDescent="0.25">
      <c r="C26" s="2"/>
      <c r="D26" s="2"/>
    </row>
    <row r="27" spans="3:4" s="3" customFormat="1" x14ac:dyDescent="0.25">
      <c r="C27" s="2"/>
      <c r="D27" s="2"/>
    </row>
    <row r="28" spans="3:4" s="3" customFormat="1" x14ac:dyDescent="0.25">
      <c r="C28" s="2"/>
      <c r="D28" s="2"/>
    </row>
    <row r="29" spans="3:4" s="3" customFormat="1" x14ac:dyDescent="0.25">
      <c r="C29" s="2"/>
      <c r="D29" s="2"/>
    </row>
    <row r="30" spans="3:4" s="3" customFormat="1" x14ac:dyDescent="0.25">
      <c r="C30" s="2"/>
      <c r="D30" s="2"/>
    </row>
    <row r="31" spans="3:4" s="3" customFormat="1" x14ac:dyDescent="0.25">
      <c r="C31" s="2"/>
      <c r="D31" s="2"/>
    </row>
    <row r="32" spans="3:4" s="3" customFormat="1" x14ac:dyDescent="0.25">
      <c r="C32" s="2"/>
      <c r="D3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61D7B-7385-43F7-A581-78F09484DE56}">
  <dimension ref="A1:I32"/>
  <sheetViews>
    <sheetView zoomScale="85" zoomScaleNormal="85" workbookViewId="0">
      <selection activeCell="H24" sqref="H24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A2" s="3" t="s">
        <v>78</v>
      </c>
      <c r="B2" s="3" t="s">
        <v>310</v>
      </c>
      <c r="C2" s="7">
        <v>10</v>
      </c>
      <c r="D2" s="7">
        <f>C2+100</f>
        <v>110</v>
      </c>
      <c r="E2" s="3" t="s">
        <v>526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B3" s="3" t="s">
        <v>310</v>
      </c>
      <c r="C3" s="7">
        <f>C2+1</f>
        <v>11</v>
      </c>
      <c r="D3" s="7">
        <f t="shared" ref="D3:D32" si="0">C3+100</f>
        <v>111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B4" s="3" t="s">
        <v>310</v>
      </c>
      <c r="C4" s="7">
        <f t="shared" ref="C4:C32" si="1">C3+1</f>
        <v>12</v>
      </c>
      <c r="D4" s="7">
        <f t="shared" si="0"/>
        <v>112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A12" s="3" t="s">
        <v>90</v>
      </c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A22" s="3" t="s">
        <v>119</v>
      </c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145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AC370-EC0C-4A26-B459-7C1E1422DD13}">
  <dimension ref="A1:I32"/>
  <sheetViews>
    <sheetView zoomScale="85" zoomScaleNormal="85" workbookViewId="0">
      <selection activeCell="E13" sqref="E13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A2" s="3" t="s">
        <v>82</v>
      </c>
      <c r="B2" s="3" t="s">
        <v>310</v>
      </c>
      <c r="C2" s="7">
        <v>10</v>
      </c>
      <c r="D2" s="7">
        <f>C2+100</f>
        <v>110</v>
      </c>
      <c r="E2" s="3" t="s">
        <v>137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B3" s="3" t="s">
        <v>310</v>
      </c>
      <c r="C3" s="7">
        <f>C2+1</f>
        <v>11</v>
      </c>
      <c r="D3" s="7">
        <f t="shared" ref="D3:D32" si="0">C3+100</f>
        <v>111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B4" s="3" t="s">
        <v>310</v>
      </c>
      <c r="C4" s="7">
        <f t="shared" ref="C4:C32" si="1">C3+1</f>
        <v>12</v>
      </c>
      <c r="D4" s="7">
        <f t="shared" si="0"/>
        <v>112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A12" s="3" t="s">
        <v>102</v>
      </c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A22" s="3" t="s">
        <v>119</v>
      </c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145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A21D-EBAB-4446-9B5E-F3AEC8E0542D}">
  <dimension ref="A1:I32"/>
  <sheetViews>
    <sheetView zoomScale="85" zoomScaleNormal="85" workbookViewId="0">
      <selection activeCell="E13" sqref="E13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A2" s="3" t="s">
        <v>122</v>
      </c>
      <c r="B2" s="3" t="s">
        <v>310</v>
      </c>
      <c r="C2" s="7">
        <v>10</v>
      </c>
      <c r="D2" s="7">
        <f>C2+100</f>
        <v>110</v>
      </c>
      <c r="E2" s="3" t="s">
        <v>145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B3" s="3" t="s">
        <v>310</v>
      </c>
      <c r="C3" s="7">
        <f>C2+1</f>
        <v>11</v>
      </c>
      <c r="D3" s="7">
        <f t="shared" ref="D3:D32" si="0">C3+100</f>
        <v>111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B4" s="3" t="s">
        <v>310</v>
      </c>
      <c r="C4" s="7">
        <f t="shared" ref="C4:C32" si="1">C3+1</f>
        <v>12</v>
      </c>
      <c r="D4" s="7">
        <f t="shared" si="0"/>
        <v>112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A12" s="3" t="s">
        <v>90</v>
      </c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A22" s="3" t="s">
        <v>119</v>
      </c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145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2EEB-BA04-4F06-A7A1-C00FA8E16104}">
  <dimension ref="A1:I32"/>
  <sheetViews>
    <sheetView zoomScale="85" zoomScaleNormal="85" workbookViewId="0">
      <selection activeCell="E13" sqref="E13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A2" s="3" t="s">
        <v>135</v>
      </c>
      <c r="B2" s="3" t="s">
        <v>310</v>
      </c>
      <c r="C2" s="7">
        <v>10</v>
      </c>
      <c r="D2" s="7">
        <f>C2+100</f>
        <v>110</v>
      </c>
      <c r="E2" s="3" t="s">
        <v>143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B3" s="3" t="s">
        <v>310</v>
      </c>
      <c r="C3" s="7">
        <f>C2+1</f>
        <v>11</v>
      </c>
      <c r="D3" s="7">
        <f t="shared" ref="D3:D32" si="0">C3+100</f>
        <v>111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B4" s="3" t="s">
        <v>310</v>
      </c>
      <c r="C4" s="7">
        <f t="shared" ref="C4:C32" si="1">C3+1</f>
        <v>12</v>
      </c>
      <c r="D4" s="7">
        <f t="shared" si="0"/>
        <v>112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A12" s="3" t="s">
        <v>90</v>
      </c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A22" s="3" t="s">
        <v>119</v>
      </c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145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67708-D4B7-4B1E-97E0-CFF6D620A725}">
  <dimension ref="A1:I32"/>
  <sheetViews>
    <sheetView zoomScale="85" zoomScaleNormal="85" workbookViewId="0">
      <selection activeCell="E13" sqref="E13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A2" s="3" t="s">
        <v>117</v>
      </c>
      <c r="B2" s="3" t="s">
        <v>310</v>
      </c>
      <c r="C2" s="7">
        <v>10</v>
      </c>
      <c r="D2" s="7">
        <f>C2+100</f>
        <v>110</v>
      </c>
      <c r="E2" s="3" t="s">
        <v>139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B3" s="3" t="s">
        <v>310</v>
      </c>
      <c r="C3" s="7">
        <f>C2+1</f>
        <v>11</v>
      </c>
      <c r="D3" s="7">
        <f t="shared" ref="D3:D32" si="0">C3+100</f>
        <v>111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B4" s="3" t="s">
        <v>310</v>
      </c>
      <c r="C4" s="7">
        <f t="shared" ref="C4:C32" si="1">C3+1</f>
        <v>12</v>
      </c>
      <c r="D4" s="7">
        <f t="shared" si="0"/>
        <v>112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A12" s="3" t="s">
        <v>102</v>
      </c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A22" s="3" t="s">
        <v>119</v>
      </c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145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E060-0B0B-4D15-AC6F-09E79CEA6F96}">
  <dimension ref="A1:I32"/>
  <sheetViews>
    <sheetView zoomScale="85" zoomScaleNormal="85" workbookViewId="0">
      <selection activeCell="E13" sqref="E13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A2" s="3" t="s">
        <v>92</v>
      </c>
      <c r="B2" s="3" t="s">
        <v>310</v>
      </c>
      <c r="C2" s="7">
        <v>10</v>
      </c>
      <c r="D2" s="7">
        <f>C2+100</f>
        <v>110</v>
      </c>
      <c r="E2" s="3" t="s">
        <v>141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B3" s="3" t="s">
        <v>310</v>
      </c>
      <c r="C3" s="7">
        <f>C2+1</f>
        <v>11</v>
      </c>
      <c r="D3" s="7">
        <f t="shared" ref="D3:D32" si="0">C3+100</f>
        <v>111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B4" s="3" t="s">
        <v>310</v>
      </c>
      <c r="C4" s="7">
        <f t="shared" ref="C4:C32" si="1">C3+1</f>
        <v>12</v>
      </c>
      <c r="D4" s="7">
        <f t="shared" si="0"/>
        <v>112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A12" s="3" t="s">
        <v>122</v>
      </c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A22" s="3" t="s">
        <v>119</v>
      </c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145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7A34-BF87-49AB-835B-A3EE55B7867D}">
  <dimension ref="A1:I32"/>
  <sheetViews>
    <sheetView zoomScale="85" zoomScaleNormal="85" workbookViewId="0">
      <selection activeCell="E13" sqref="E13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A2" s="3" t="s">
        <v>47</v>
      </c>
      <c r="B2" s="3" t="s">
        <v>310</v>
      </c>
      <c r="C2" s="7">
        <v>10</v>
      </c>
      <c r="D2" s="7">
        <f>C2+100</f>
        <v>110</v>
      </c>
      <c r="E2" s="3" t="s">
        <v>131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A3" s="3" t="s">
        <v>49</v>
      </c>
      <c r="B3" s="3" t="s">
        <v>310</v>
      </c>
      <c r="C3" s="7">
        <f>C2+1</f>
        <v>11</v>
      </c>
      <c r="D3" s="7">
        <f t="shared" ref="D3:D32" si="0">C3+100</f>
        <v>111</v>
      </c>
      <c r="E3" s="3" t="s">
        <v>133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A4" s="3" t="s">
        <v>51</v>
      </c>
      <c r="B4" s="3" t="s">
        <v>310</v>
      </c>
      <c r="C4" s="7">
        <f t="shared" ref="C4:C32" si="1">C3+1</f>
        <v>12</v>
      </c>
      <c r="D4" s="7">
        <f t="shared" si="0"/>
        <v>112</v>
      </c>
      <c r="E4" s="3" t="s">
        <v>135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A5" s="3" t="s">
        <v>53</v>
      </c>
      <c r="B5" s="3" t="s">
        <v>310</v>
      </c>
      <c r="C5" s="7">
        <f t="shared" si="1"/>
        <v>13</v>
      </c>
      <c r="D5" s="7">
        <f t="shared" si="0"/>
        <v>113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A6" s="3" t="s">
        <v>80</v>
      </c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A7" s="3" t="s">
        <v>42</v>
      </c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A8" s="3" t="s">
        <v>45</v>
      </c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A12" s="3" t="s">
        <v>90</v>
      </c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A22" s="3" t="s">
        <v>119</v>
      </c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145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BEE7-EA79-495B-9D02-FDE7AA24B765}">
  <dimension ref="A1:I32"/>
  <sheetViews>
    <sheetView zoomScale="85" zoomScaleNormal="85" workbookViewId="0">
      <selection activeCell="E13" sqref="E13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A2" s="3" t="s">
        <v>92</v>
      </c>
      <c r="B2" s="3" t="s">
        <v>310</v>
      </c>
      <c r="C2" s="7">
        <v>10</v>
      </c>
      <c r="D2" s="7">
        <f>C2+100</f>
        <v>110</v>
      </c>
      <c r="E2" s="3" t="s">
        <v>126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A3" s="3" t="s">
        <v>93</v>
      </c>
      <c r="B3" s="3" t="s">
        <v>310</v>
      </c>
      <c r="C3" s="7">
        <f>C2+1</f>
        <v>11</v>
      </c>
      <c r="D3" s="7">
        <f t="shared" ref="D3:D32" si="0">C3+100</f>
        <v>111</v>
      </c>
      <c r="E3" s="3" t="s">
        <v>129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A4" s="3" t="s">
        <v>104</v>
      </c>
      <c r="B4" s="3" t="s">
        <v>310</v>
      </c>
      <c r="C4" s="7">
        <f t="shared" ref="C4:C32" si="1">C3+1</f>
        <v>12</v>
      </c>
      <c r="D4" s="7">
        <f t="shared" si="0"/>
        <v>112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A5" s="3" t="s">
        <v>88</v>
      </c>
      <c r="B5" s="3" t="s">
        <v>310</v>
      </c>
      <c r="C5" s="7">
        <f t="shared" si="1"/>
        <v>13</v>
      </c>
      <c r="D5" s="7">
        <f t="shared" si="0"/>
        <v>113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A6" s="3" t="s">
        <v>102</v>
      </c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A12" s="3" t="s">
        <v>124</v>
      </c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A13" s="3" t="s">
        <v>122</v>
      </c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A14" s="3" t="s">
        <v>90</v>
      </c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A15" s="3" t="s">
        <v>135</v>
      </c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A22" s="3" t="s">
        <v>119</v>
      </c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145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7AC9-1F2B-4927-B86B-683C496B5120}">
  <dimension ref="A1:I32"/>
  <sheetViews>
    <sheetView zoomScale="85" zoomScaleNormal="85" workbookViewId="0">
      <selection activeCell="E13" sqref="E13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A2" s="3" t="s">
        <v>92</v>
      </c>
      <c r="B2" s="3" t="s">
        <v>310</v>
      </c>
      <c r="C2" s="7">
        <v>10</v>
      </c>
      <c r="D2" s="7">
        <f>C2+100</f>
        <v>110</v>
      </c>
      <c r="E2" s="3" t="s">
        <v>119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A3" s="3" t="s">
        <v>93</v>
      </c>
      <c r="B3" s="3" t="s">
        <v>310</v>
      </c>
      <c r="C3" s="7">
        <f>C2+1</f>
        <v>11</v>
      </c>
      <c r="D3" s="7">
        <f t="shared" ref="D3:D32" si="0">C3+100</f>
        <v>111</v>
      </c>
      <c r="E3" s="3" t="s">
        <v>124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A4" s="3" t="s">
        <v>95</v>
      </c>
      <c r="B4" s="3" t="s">
        <v>310</v>
      </c>
      <c r="C4" s="7">
        <f t="shared" ref="C4:C32" si="1">C3+1</f>
        <v>12</v>
      </c>
      <c r="D4" s="7">
        <f t="shared" si="0"/>
        <v>112</v>
      </c>
      <c r="E4" s="3" t="s">
        <v>122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A12" s="3" t="s">
        <v>104</v>
      </c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A13" s="3" t="s">
        <v>88</v>
      </c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A14" s="3" t="s">
        <v>100</v>
      </c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A15" s="3" t="s">
        <v>90</v>
      </c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A22" s="3" t="s">
        <v>96</v>
      </c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A23" s="3" t="s">
        <v>98</v>
      </c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145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BD17D-4D9A-49E6-A3D8-3FD6899D2CAF}">
  <dimension ref="A1:I32"/>
  <sheetViews>
    <sheetView zoomScale="85" zoomScaleNormal="85" workbookViewId="0">
      <selection activeCell="E4" sqref="E4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A2" s="3" t="s">
        <v>75</v>
      </c>
      <c r="B2" s="3" t="s">
        <v>310</v>
      </c>
      <c r="C2" s="7">
        <v>10</v>
      </c>
      <c r="D2" s="7">
        <f>C2+100</f>
        <v>110</v>
      </c>
      <c r="E2" s="3" t="s">
        <v>117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B3" s="3" t="s">
        <v>310</v>
      </c>
      <c r="C3" s="7">
        <f>C2+1</f>
        <v>11</v>
      </c>
      <c r="D3" s="7">
        <f t="shared" ref="D3:D32" si="0">C3+100</f>
        <v>111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B4" s="3" t="s">
        <v>310</v>
      </c>
      <c r="C4" s="7">
        <f t="shared" ref="C4:C32" si="1">C3+1</f>
        <v>12</v>
      </c>
      <c r="D4" s="7">
        <f t="shared" si="0"/>
        <v>112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A12" s="3" t="s">
        <v>90</v>
      </c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141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3B11B-C4B3-46A2-928E-45023D36067E}">
  <dimension ref="A1:I32"/>
  <sheetViews>
    <sheetView zoomScale="85" zoomScaleNormal="85" workbookViewId="0">
      <selection activeCell="E11" sqref="E11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A2" s="3" t="s">
        <v>38</v>
      </c>
      <c r="B2" s="3" t="s">
        <v>310</v>
      </c>
      <c r="C2" s="7">
        <v>10</v>
      </c>
      <c r="D2" s="7">
        <f>C2+100</f>
        <v>110</v>
      </c>
      <c r="E2" s="3" t="s">
        <v>106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B3" s="3" t="s">
        <v>310</v>
      </c>
      <c r="C3" s="7">
        <f>C2+1</f>
        <v>11</v>
      </c>
      <c r="D3" s="7">
        <f t="shared" ref="D3:D32" si="0">C3+100</f>
        <v>111</v>
      </c>
      <c r="E3" s="3" t="s">
        <v>107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B4" s="3" t="s">
        <v>310</v>
      </c>
      <c r="C4" s="7">
        <f t="shared" ref="C4:C32" si="1">C3+1</f>
        <v>12</v>
      </c>
      <c r="D4" s="7">
        <f t="shared" si="0"/>
        <v>112</v>
      </c>
      <c r="E4" s="3" t="s">
        <v>110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E5" s="3" t="s">
        <v>112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F11" s="3" t="s">
        <v>316</v>
      </c>
      <c r="G11" s="7">
        <v>241</v>
      </c>
      <c r="H11" s="7"/>
      <c r="I11" s="7"/>
    </row>
    <row r="12" spans="1:9" s="3" customFormat="1" x14ac:dyDescent="0.25"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141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A59DD-7C8F-43BA-9C36-FD642FFBC869}">
  <dimension ref="A1:I32"/>
  <sheetViews>
    <sheetView zoomScale="85" zoomScaleNormal="85" workbookViewId="0">
      <selection activeCell="E13" sqref="E13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A2" s="3" t="s">
        <v>57</v>
      </c>
      <c r="B2" s="3" t="s">
        <v>310</v>
      </c>
      <c r="C2" s="7">
        <v>10</v>
      </c>
      <c r="D2" s="7">
        <f>C2+100</f>
        <v>110</v>
      </c>
      <c r="E2" s="3" t="s">
        <v>102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A3" s="3" t="s">
        <v>84</v>
      </c>
      <c r="B3" s="3" t="s">
        <v>310</v>
      </c>
      <c r="C3" s="7">
        <f>C2+1</f>
        <v>11</v>
      </c>
      <c r="D3" s="7">
        <f t="shared" ref="D3:D32" si="0">C3+100</f>
        <v>111</v>
      </c>
      <c r="E3" s="3" t="s">
        <v>100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A4" s="3" t="s">
        <v>71</v>
      </c>
      <c r="B4" s="3" t="s">
        <v>310</v>
      </c>
      <c r="C4" s="7">
        <f t="shared" ref="C4:C32" si="1">C3+1</f>
        <v>12</v>
      </c>
      <c r="D4" s="7">
        <f t="shared" si="0"/>
        <v>112</v>
      </c>
      <c r="E4" s="3" t="s">
        <v>104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E5" s="3" t="s">
        <v>88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A12" s="3" t="s">
        <v>112</v>
      </c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A13" s="3" t="s">
        <v>107</v>
      </c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A14" s="3" t="s">
        <v>110</v>
      </c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A22" s="3" t="s">
        <v>59</v>
      </c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A23" s="3" t="s">
        <v>90</v>
      </c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141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089B-71BA-47CB-8550-378AA92E4918}">
  <dimension ref="A1:I32"/>
  <sheetViews>
    <sheetView zoomScale="85" zoomScaleNormal="85" workbookViewId="0">
      <selection activeCell="E13" sqref="E13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A2" s="3" t="s">
        <v>69</v>
      </c>
      <c r="B2" s="3" t="s">
        <v>310</v>
      </c>
      <c r="C2" s="7">
        <v>10</v>
      </c>
      <c r="D2" s="7">
        <f>C2+100</f>
        <v>110</v>
      </c>
      <c r="E2" s="3" t="s">
        <v>82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A3" s="3" t="s">
        <v>71</v>
      </c>
      <c r="B3" s="3" t="s">
        <v>310</v>
      </c>
      <c r="C3" s="7">
        <f>C2+1</f>
        <v>11</v>
      </c>
      <c r="D3" s="7">
        <f t="shared" ref="D3:D32" si="0">C3+100</f>
        <v>111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A4" s="3" t="s">
        <v>73</v>
      </c>
      <c r="B4" s="3" t="s">
        <v>310</v>
      </c>
      <c r="C4" s="7">
        <f t="shared" ref="C4:C32" si="1">C3+1</f>
        <v>12</v>
      </c>
      <c r="D4" s="7">
        <f t="shared" si="0"/>
        <v>112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A12" s="3" t="s">
        <v>112</v>
      </c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A22" s="3" t="s">
        <v>90</v>
      </c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141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84F89-7D20-4EA3-9486-83CA0C2B5AB9}">
  <dimension ref="A1:I32"/>
  <sheetViews>
    <sheetView zoomScale="85" zoomScaleNormal="85" workbookViewId="0">
      <selection activeCell="E13" sqref="E13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A2" s="3" t="s">
        <v>78</v>
      </c>
      <c r="B2" s="3" t="s">
        <v>310</v>
      </c>
      <c r="C2" s="7">
        <v>10</v>
      </c>
      <c r="D2" s="7">
        <f>C2+100</f>
        <v>110</v>
      </c>
      <c r="E2" s="3" t="s">
        <v>90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B3" s="3" t="s">
        <v>310</v>
      </c>
      <c r="C3" s="7">
        <f>C2+1</f>
        <v>11</v>
      </c>
      <c r="D3" s="7">
        <f t="shared" ref="D3:D32" si="0">C3+100</f>
        <v>111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B4" s="3" t="s">
        <v>310</v>
      </c>
      <c r="C4" s="7">
        <f t="shared" ref="C4:C32" si="1">C3+1</f>
        <v>12</v>
      </c>
      <c r="D4" s="7">
        <f t="shared" si="0"/>
        <v>112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141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862C-1C05-4C93-BB3C-C5981BA42C15}">
  <dimension ref="A1:I32"/>
  <sheetViews>
    <sheetView zoomScale="85" zoomScaleNormal="85" workbookViewId="0">
      <selection activeCell="E13" sqref="E13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A2" s="3" t="s">
        <v>67</v>
      </c>
      <c r="B2" s="3" t="s">
        <v>310</v>
      </c>
      <c r="C2" s="7">
        <v>10</v>
      </c>
      <c r="D2" s="7">
        <f>C2+100</f>
        <v>110</v>
      </c>
      <c r="E2" s="3" t="s">
        <v>86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B3" s="3" t="s">
        <v>310</v>
      </c>
      <c r="C3" s="7">
        <f>C2+1</f>
        <v>11</v>
      </c>
      <c r="D3" s="7">
        <f t="shared" ref="D3:D32" si="0">C3+100</f>
        <v>111</v>
      </c>
      <c r="E3" s="3" t="s">
        <v>84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B4" s="3" t="s">
        <v>310</v>
      </c>
      <c r="C4" s="7">
        <f t="shared" ref="C4:C32" si="1">C3+1</f>
        <v>12</v>
      </c>
      <c r="D4" s="7">
        <f t="shared" si="0"/>
        <v>112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141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12AD7-5A1B-4578-ADEA-E06095E763F0}">
  <dimension ref="A1:I32"/>
  <sheetViews>
    <sheetView zoomScale="85" zoomScaleNormal="85" workbookViewId="0">
      <selection activeCell="E13" sqref="E13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A2" s="3" t="s">
        <v>78</v>
      </c>
      <c r="B2" s="3" t="s">
        <v>310</v>
      </c>
      <c r="C2" s="7">
        <v>10</v>
      </c>
      <c r="D2" s="7">
        <f>C2+100</f>
        <v>110</v>
      </c>
      <c r="E2" s="3" t="s">
        <v>98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A3" s="3" t="s">
        <v>69</v>
      </c>
      <c r="B3" s="3" t="s">
        <v>310</v>
      </c>
      <c r="C3" s="7">
        <f>C2+1</f>
        <v>11</v>
      </c>
      <c r="D3" s="7">
        <f t="shared" ref="D3:D32" si="0">C3+100</f>
        <v>111</v>
      </c>
      <c r="E3" s="3" t="s">
        <v>96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A4" s="3" t="s">
        <v>71</v>
      </c>
      <c r="B4" s="3" t="s">
        <v>310</v>
      </c>
      <c r="C4" s="7">
        <f t="shared" ref="C4:C32" si="1">C3+1</f>
        <v>12</v>
      </c>
      <c r="D4" s="7">
        <f t="shared" si="0"/>
        <v>112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A12" s="3" t="s">
        <v>59</v>
      </c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A22" s="3" t="s">
        <v>90</v>
      </c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141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A757-9EE7-49DE-BD8B-09A5ADF0C276}">
  <dimension ref="A1:I32"/>
  <sheetViews>
    <sheetView zoomScale="85" zoomScaleNormal="85" workbookViewId="0">
      <selection activeCell="A13" sqref="A13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A2" s="3" t="s">
        <v>61</v>
      </c>
      <c r="B2" s="3" t="s">
        <v>310</v>
      </c>
      <c r="C2" s="7">
        <v>10</v>
      </c>
      <c r="D2" s="7">
        <f>C2+100</f>
        <v>110</v>
      </c>
      <c r="E2" s="3" t="s">
        <v>92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A3" s="3" t="s">
        <v>63</v>
      </c>
      <c r="B3" s="3" t="s">
        <v>310</v>
      </c>
      <c r="C3" s="7">
        <f>C2+1</f>
        <v>11</v>
      </c>
      <c r="D3" s="7">
        <f t="shared" ref="D3:D32" si="0">C3+100</f>
        <v>111</v>
      </c>
      <c r="E3" s="3" t="s">
        <v>93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A4" s="3" t="s">
        <v>65</v>
      </c>
      <c r="B4" s="3" t="s">
        <v>310</v>
      </c>
      <c r="C4" s="7">
        <f t="shared" ref="C4:C32" si="1">C3+1</f>
        <v>12</v>
      </c>
      <c r="D4" s="7">
        <f t="shared" si="0"/>
        <v>112</v>
      </c>
      <c r="E4" s="3" t="s">
        <v>95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A12" s="3" t="s">
        <v>59</v>
      </c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A13" s="3" t="s">
        <v>106</v>
      </c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A22" s="3" t="s">
        <v>90</v>
      </c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141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96911-D0F5-4CDB-8280-34052321C0DE}">
  <dimension ref="A1:I32"/>
  <sheetViews>
    <sheetView zoomScale="85" zoomScaleNormal="85" workbookViewId="0">
      <selection activeCell="E13" sqref="E13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B2" s="3" t="s">
        <v>310</v>
      </c>
      <c r="C2" s="7">
        <v>10</v>
      </c>
      <c r="D2" s="7">
        <f>C2+100</f>
        <v>110</v>
      </c>
      <c r="E2" s="3" t="s">
        <v>57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B3" s="3" t="s">
        <v>310</v>
      </c>
      <c r="C3" s="7">
        <f>C2+1</f>
        <v>11</v>
      </c>
      <c r="D3" s="7">
        <f t="shared" ref="D3:D32" si="0">C3+100</f>
        <v>111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B4" s="3" t="s">
        <v>310</v>
      </c>
      <c r="C4" s="7">
        <f t="shared" ref="C4:C32" si="1">C3+1</f>
        <v>12</v>
      </c>
      <c r="D4" s="7">
        <f t="shared" si="0"/>
        <v>112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139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483F2-E1FD-4717-8416-04433D465C79}">
  <dimension ref="A1:I32"/>
  <sheetViews>
    <sheetView zoomScale="85" zoomScaleNormal="85" workbookViewId="0">
      <selection activeCell="E13" sqref="E13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B2" s="3" t="s">
        <v>310</v>
      </c>
      <c r="C2" s="7">
        <v>10</v>
      </c>
      <c r="D2" s="7">
        <f>C2+100</f>
        <v>110</v>
      </c>
      <c r="E2" s="3" t="s">
        <v>47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B3" s="3" t="s">
        <v>310</v>
      </c>
      <c r="C3" s="7">
        <f>C2+1</f>
        <v>11</v>
      </c>
      <c r="D3" s="7">
        <f t="shared" ref="D3:D32" si="0">C3+100</f>
        <v>111</v>
      </c>
      <c r="E3" s="3" t="s">
        <v>49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B4" s="3" t="s">
        <v>310</v>
      </c>
      <c r="C4" s="7">
        <f t="shared" ref="C4:C32" si="1">C3+1</f>
        <v>12</v>
      </c>
      <c r="D4" s="7">
        <f t="shared" si="0"/>
        <v>112</v>
      </c>
      <c r="E4" s="3" t="s">
        <v>42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139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3306-C519-47FE-B232-F577B890F380}">
  <dimension ref="A1:I32"/>
  <sheetViews>
    <sheetView zoomScale="85" zoomScaleNormal="85" workbookViewId="0">
      <selection activeCell="E13" sqref="E13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B2" s="3" t="s">
        <v>310</v>
      </c>
      <c r="C2" s="7">
        <v>10</v>
      </c>
      <c r="D2" s="7">
        <f>C2+100</f>
        <v>110</v>
      </c>
      <c r="E2" s="3" t="s">
        <v>53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B3" s="3" t="s">
        <v>310</v>
      </c>
      <c r="C3" s="7">
        <f>C2+1</f>
        <v>11</v>
      </c>
      <c r="D3" s="7">
        <f t="shared" ref="D3:D32" si="0">C3+100</f>
        <v>111</v>
      </c>
      <c r="E3" s="3" t="s">
        <v>51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B4" s="3" t="s">
        <v>310</v>
      </c>
      <c r="C4" s="7">
        <f t="shared" ref="C4:C32" si="1">C3+1</f>
        <v>12</v>
      </c>
      <c r="D4" s="7">
        <f t="shared" si="0"/>
        <v>112</v>
      </c>
      <c r="E4" s="3" t="s">
        <v>45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139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4482D-9EDC-4DB2-8022-ED06971DA57B}">
  <dimension ref="A1:I32"/>
  <sheetViews>
    <sheetView zoomScale="85" zoomScaleNormal="85" workbookViewId="0">
      <selection activeCell="A12" sqref="A12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B2" s="3" t="s">
        <v>310</v>
      </c>
      <c r="C2" s="7">
        <v>10</v>
      </c>
      <c r="D2" s="7">
        <f>C2+100</f>
        <v>110</v>
      </c>
      <c r="E2" s="3" t="s">
        <v>59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B3" s="3" t="s">
        <v>310</v>
      </c>
      <c r="C3" s="7">
        <f>C2+1</f>
        <v>11</v>
      </c>
      <c r="D3" s="7">
        <f t="shared" ref="D3:D32" si="0">C3+100</f>
        <v>111</v>
      </c>
      <c r="E3" s="3" t="s">
        <v>61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B4" s="3" t="s">
        <v>310</v>
      </c>
      <c r="C4" s="7">
        <f t="shared" ref="C4:C32" si="1">C3+1</f>
        <v>12</v>
      </c>
      <c r="D4" s="7">
        <f t="shared" si="0"/>
        <v>112</v>
      </c>
      <c r="E4" s="3" t="s">
        <v>63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E5" s="3" t="s">
        <v>65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E6" s="3" t="s">
        <v>75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E7" s="3" t="s">
        <v>78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A12" s="3" t="s">
        <v>526</v>
      </c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A22" s="3" t="s">
        <v>86</v>
      </c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141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E130A-7E37-4504-BFDA-6EB77D5428AA}">
  <dimension ref="A1:I32"/>
  <sheetViews>
    <sheetView zoomScale="85" zoomScaleNormal="85" workbookViewId="0">
      <selection activeCell="E13" sqref="E13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B2" s="3" t="s">
        <v>310</v>
      </c>
      <c r="C2" s="7">
        <v>10</v>
      </c>
      <c r="D2" s="7">
        <f>C2+100</f>
        <v>110</v>
      </c>
      <c r="E2" s="3" t="s">
        <v>69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B3" s="3" t="s">
        <v>310</v>
      </c>
      <c r="C3" s="7">
        <f>C2+1</f>
        <v>11</v>
      </c>
      <c r="D3" s="7">
        <f t="shared" ref="D3:D32" si="0">C3+100</f>
        <v>111</v>
      </c>
      <c r="E3" s="3" t="s">
        <v>71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B4" s="3" t="s">
        <v>310</v>
      </c>
      <c r="C4" s="7">
        <f t="shared" ref="C4:C32" si="1">C3+1</f>
        <v>12</v>
      </c>
      <c r="D4" s="7">
        <f t="shared" si="0"/>
        <v>112</v>
      </c>
      <c r="E4" s="3" t="s">
        <v>73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143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CE5CF-D337-45DF-9B64-EE48AEEC0C3B}">
  <dimension ref="A1:I32"/>
  <sheetViews>
    <sheetView zoomScale="85" zoomScaleNormal="85" workbookViewId="0">
      <selection activeCell="E13" sqref="E13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B2" s="3" t="s">
        <v>310</v>
      </c>
      <c r="C2" s="7">
        <v>10</v>
      </c>
      <c r="D2" s="7">
        <f>C2+100</f>
        <v>110</v>
      </c>
      <c r="E2" s="3" t="s">
        <v>69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B3" s="3" t="s">
        <v>310</v>
      </c>
      <c r="C3" s="7">
        <f>C2+1</f>
        <v>11</v>
      </c>
      <c r="D3" s="7">
        <f t="shared" ref="D3:D32" si="0">C3+100</f>
        <v>111</v>
      </c>
      <c r="E3" s="3" t="s">
        <v>71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B4" s="3" t="s">
        <v>310</v>
      </c>
      <c r="C4" s="7">
        <f t="shared" ref="C4:C32" si="1">C3+1</f>
        <v>12</v>
      </c>
      <c r="D4" s="7">
        <f t="shared" si="0"/>
        <v>112</v>
      </c>
      <c r="E4" s="3" t="s">
        <v>73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141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DAEC2-8D15-4FA0-B078-FEB65D7E2CC6}">
  <dimension ref="A1:I32"/>
  <sheetViews>
    <sheetView zoomScale="85" zoomScaleNormal="85" workbookViewId="0">
      <selection activeCell="E13" sqref="E13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B2" s="3" t="s">
        <v>310</v>
      </c>
      <c r="C2" s="7">
        <v>10</v>
      </c>
      <c r="D2" s="7">
        <f>C2+100</f>
        <v>110</v>
      </c>
      <c r="E2" s="3" t="s">
        <v>80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B3" s="3" t="s">
        <v>310</v>
      </c>
      <c r="C3" s="7">
        <f>C2+1</f>
        <v>11</v>
      </c>
      <c r="D3" s="7">
        <f t="shared" ref="D3:D32" si="0">C3+100</f>
        <v>111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B4" s="3" t="s">
        <v>310</v>
      </c>
      <c r="C4" s="7">
        <f t="shared" ref="C4:C32" si="1">C3+1</f>
        <v>12</v>
      </c>
      <c r="D4" s="7">
        <f t="shared" si="0"/>
        <v>112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143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5F90-F0FF-4D03-A840-E85E92EA196F}">
  <dimension ref="A1:I32"/>
  <sheetViews>
    <sheetView zoomScale="85" zoomScaleNormal="85" workbookViewId="0">
      <selection activeCell="E13" sqref="E13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B2" s="3" t="s">
        <v>310</v>
      </c>
      <c r="C2" s="7">
        <v>10</v>
      </c>
      <c r="D2" s="7">
        <f>C2+100</f>
        <v>110</v>
      </c>
      <c r="E2" s="3" t="s">
        <v>80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B3" s="3" t="s">
        <v>310</v>
      </c>
      <c r="C3" s="7">
        <f>C2+1</f>
        <v>11</v>
      </c>
      <c r="D3" s="7">
        <f t="shared" ref="D3:D32" si="0">C3+100</f>
        <v>111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B4" s="3" t="s">
        <v>310</v>
      </c>
      <c r="C4" s="7">
        <f t="shared" ref="C4:C32" si="1">C3+1</f>
        <v>12</v>
      </c>
      <c r="D4" s="7">
        <f t="shared" si="0"/>
        <v>112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141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969A-F546-44C3-8A90-783FF4B7F4E0}">
  <dimension ref="A1:I32"/>
  <sheetViews>
    <sheetView zoomScale="85" zoomScaleNormal="85" workbookViewId="0">
      <selection activeCell="E13" sqref="E13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B2" s="3" t="s">
        <v>310</v>
      </c>
      <c r="C2" s="7">
        <v>10</v>
      </c>
      <c r="D2" s="7">
        <f>C2+100</f>
        <v>110</v>
      </c>
      <c r="E2" s="3" t="s">
        <v>67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B3" s="3" t="s">
        <v>310</v>
      </c>
      <c r="C3" s="7">
        <f>C2+1</f>
        <v>11</v>
      </c>
      <c r="D3" s="7">
        <f t="shared" ref="D3:D32" si="0">C3+100</f>
        <v>111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B4" s="3" t="s">
        <v>310</v>
      </c>
      <c r="C4" s="7">
        <f t="shared" ref="C4:C32" si="1">C3+1</f>
        <v>12</v>
      </c>
      <c r="D4" s="7">
        <f t="shared" si="0"/>
        <v>112</v>
      </c>
      <c r="F4" s="3" t="s">
        <v>315</v>
      </c>
      <c r="G4" s="7">
        <f t="shared" ref="G4:I9" si="2">G3+1</f>
        <v>212</v>
      </c>
      <c r="H4" s="7">
        <f t="shared" si="2"/>
        <v>222</v>
      </c>
      <c r="I4" s="7">
        <f t="shared" si="2"/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2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2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2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2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2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143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3C79-C2E1-4100-B198-E6337A4D678E}">
  <dimension ref="A1:I32"/>
  <sheetViews>
    <sheetView zoomScale="85" zoomScaleNormal="85" workbookViewId="0">
      <selection activeCell="E13" sqref="E13"/>
    </sheetView>
  </sheetViews>
  <sheetFormatPr defaultRowHeight="15" x14ac:dyDescent="0.25"/>
  <cols>
    <col min="1" max="2" width="16" style="2" customWidth="1"/>
    <col min="3" max="4" width="16" style="8" customWidth="1"/>
    <col min="5" max="5" width="14.28515625" style="2" bestFit="1" customWidth="1"/>
    <col min="6" max="6" width="14.28515625" style="2" customWidth="1"/>
    <col min="7" max="7" width="11.42578125" style="2" customWidth="1"/>
    <col min="8" max="8" width="14.28515625" style="8" customWidth="1"/>
    <col min="9" max="9" width="9.140625" style="8"/>
    <col min="10" max="16384" width="9.140625" style="2"/>
  </cols>
  <sheetData>
    <row r="1" spans="1:9" s="1" customFormat="1" x14ac:dyDescent="0.25">
      <c r="A1" s="1" t="s">
        <v>301</v>
      </c>
      <c r="B1" s="1" t="s">
        <v>313</v>
      </c>
      <c r="C1" s="6" t="s">
        <v>304</v>
      </c>
      <c r="D1" s="6" t="s">
        <v>305</v>
      </c>
      <c r="E1" s="1" t="s">
        <v>302</v>
      </c>
      <c r="F1" s="1" t="s">
        <v>314</v>
      </c>
      <c r="G1" s="6" t="s">
        <v>317</v>
      </c>
      <c r="H1" s="6" t="s">
        <v>319</v>
      </c>
      <c r="I1" s="6" t="s">
        <v>318</v>
      </c>
    </row>
    <row r="2" spans="1:9" s="3" customFormat="1" x14ac:dyDescent="0.25">
      <c r="B2" s="3" t="s">
        <v>310</v>
      </c>
      <c r="C2" s="7">
        <v>10</v>
      </c>
      <c r="D2" s="7">
        <f>C2+100</f>
        <v>110</v>
      </c>
      <c r="E2" s="3" t="s">
        <v>67</v>
      </c>
      <c r="F2" s="3" t="s">
        <v>315</v>
      </c>
      <c r="G2" s="7">
        <v>210</v>
      </c>
      <c r="H2" s="7">
        <v>220</v>
      </c>
      <c r="I2" s="7">
        <v>230</v>
      </c>
    </row>
    <row r="3" spans="1:9" s="3" customFormat="1" x14ac:dyDescent="0.25">
      <c r="B3" s="3" t="s">
        <v>310</v>
      </c>
      <c r="C3" s="7">
        <f>C2+1</f>
        <v>11</v>
      </c>
      <c r="D3" s="7">
        <f t="shared" ref="D3:D32" si="0">C3+100</f>
        <v>111</v>
      </c>
      <c r="F3" s="3" t="s">
        <v>315</v>
      </c>
      <c r="G3" s="7">
        <f>G2+1</f>
        <v>211</v>
      </c>
      <c r="H3" s="7">
        <f>H2+1</f>
        <v>221</v>
      </c>
      <c r="I3" s="7">
        <f>I2+1</f>
        <v>231</v>
      </c>
    </row>
    <row r="4" spans="1:9" s="3" customFormat="1" x14ac:dyDescent="0.25">
      <c r="B4" s="3" t="s">
        <v>310</v>
      </c>
      <c r="C4" s="7">
        <f t="shared" ref="C4:C32" si="1">C3+1</f>
        <v>12</v>
      </c>
      <c r="D4" s="7">
        <f t="shared" si="0"/>
        <v>112</v>
      </c>
      <c r="F4" s="3" t="s">
        <v>315</v>
      </c>
      <c r="G4" s="7">
        <f t="shared" ref="G4:H9" si="2">G3+1</f>
        <v>212</v>
      </c>
      <c r="H4" s="7">
        <f t="shared" si="2"/>
        <v>222</v>
      </c>
      <c r="I4" s="7">
        <f t="shared" ref="I4:I9" si="3">I3+1</f>
        <v>232</v>
      </c>
    </row>
    <row r="5" spans="1:9" s="3" customFormat="1" x14ac:dyDescent="0.25">
      <c r="B5" s="3" t="s">
        <v>310</v>
      </c>
      <c r="C5" s="7">
        <f t="shared" si="1"/>
        <v>13</v>
      </c>
      <c r="D5" s="7">
        <f t="shared" si="0"/>
        <v>113</v>
      </c>
      <c r="F5" s="3" t="s">
        <v>315</v>
      </c>
      <c r="G5" s="7">
        <f t="shared" si="2"/>
        <v>213</v>
      </c>
      <c r="H5" s="7">
        <f t="shared" si="2"/>
        <v>223</v>
      </c>
      <c r="I5" s="7">
        <f t="shared" si="3"/>
        <v>233</v>
      </c>
    </row>
    <row r="6" spans="1:9" s="3" customFormat="1" x14ac:dyDescent="0.25">
      <c r="B6" s="3" t="s">
        <v>310</v>
      </c>
      <c r="C6" s="7">
        <f t="shared" si="1"/>
        <v>14</v>
      </c>
      <c r="D6" s="7">
        <f t="shared" si="0"/>
        <v>114</v>
      </c>
      <c r="F6" s="3" t="s">
        <v>315</v>
      </c>
      <c r="G6" s="7">
        <f t="shared" si="2"/>
        <v>214</v>
      </c>
      <c r="H6" s="7">
        <f t="shared" si="2"/>
        <v>224</v>
      </c>
      <c r="I6" s="7">
        <f t="shared" si="3"/>
        <v>234</v>
      </c>
    </row>
    <row r="7" spans="1:9" s="3" customFormat="1" x14ac:dyDescent="0.25">
      <c r="B7" s="3" t="s">
        <v>310</v>
      </c>
      <c r="C7" s="7">
        <f t="shared" si="1"/>
        <v>15</v>
      </c>
      <c r="D7" s="7">
        <f t="shared" si="0"/>
        <v>115</v>
      </c>
      <c r="F7" s="3" t="s">
        <v>315</v>
      </c>
      <c r="G7" s="7">
        <f t="shared" si="2"/>
        <v>215</v>
      </c>
      <c r="H7" s="7">
        <f t="shared" si="2"/>
        <v>225</v>
      </c>
      <c r="I7" s="7">
        <f t="shared" si="3"/>
        <v>235</v>
      </c>
    </row>
    <row r="8" spans="1:9" s="3" customFormat="1" x14ac:dyDescent="0.25">
      <c r="B8" s="3" t="s">
        <v>310</v>
      </c>
      <c r="C8" s="7">
        <f t="shared" si="1"/>
        <v>16</v>
      </c>
      <c r="D8" s="7">
        <f t="shared" si="0"/>
        <v>116</v>
      </c>
      <c r="F8" s="3" t="s">
        <v>315</v>
      </c>
      <c r="G8" s="7">
        <f t="shared" si="2"/>
        <v>216</v>
      </c>
      <c r="H8" s="7">
        <f t="shared" si="2"/>
        <v>226</v>
      </c>
      <c r="I8" s="7">
        <f t="shared" si="3"/>
        <v>236</v>
      </c>
    </row>
    <row r="9" spans="1:9" s="3" customFormat="1" x14ac:dyDescent="0.25">
      <c r="B9" s="3" t="s">
        <v>310</v>
      </c>
      <c r="C9" s="7">
        <f t="shared" si="1"/>
        <v>17</v>
      </c>
      <c r="D9" s="7">
        <f t="shared" si="0"/>
        <v>117</v>
      </c>
      <c r="F9" s="3" t="s">
        <v>315</v>
      </c>
      <c r="G9" s="7">
        <f t="shared" si="2"/>
        <v>217</v>
      </c>
      <c r="H9" s="7">
        <f t="shared" si="2"/>
        <v>227</v>
      </c>
      <c r="I9" s="7">
        <f t="shared" si="3"/>
        <v>237</v>
      </c>
    </row>
    <row r="10" spans="1:9" s="3" customFormat="1" x14ac:dyDescent="0.25">
      <c r="B10" s="3" t="s">
        <v>310</v>
      </c>
      <c r="C10" s="7">
        <f t="shared" si="1"/>
        <v>18</v>
      </c>
      <c r="D10" s="7">
        <f t="shared" si="0"/>
        <v>118</v>
      </c>
      <c r="E10" s="3" t="s">
        <v>34</v>
      </c>
      <c r="F10" s="3" t="s">
        <v>316</v>
      </c>
      <c r="G10" s="7">
        <v>240</v>
      </c>
      <c r="H10" s="7"/>
      <c r="I10" s="7"/>
    </row>
    <row r="11" spans="1:9" s="3" customFormat="1" x14ac:dyDescent="0.25">
      <c r="B11" s="3" t="s">
        <v>310</v>
      </c>
      <c r="C11" s="7">
        <f t="shared" si="1"/>
        <v>19</v>
      </c>
      <c r="D11" s="7">
        <f t="shared" si="0"/>
        <v>119</v>
      </c>
      <c r="E11" s="3" t="s">
        <v>38</v>
      </c>
      <c r="F11" s="3" t="s">
        <v>316</v>
      </c>
      <c r="G11" s="7">
        <v>241</v>
      </c>
      <c r="H11" s="7"/>
      <c r="I11" s="7"/>
    </row>
    <row r="12" spans="1:9" s="3" customFormat="1" x14ac:dyDescent="0.25">
      <c r="B12" s="3" t="s">
        <v>311</v>
      </c>
      <c r="C12" s="7">
        <f t="shared" si="1"/>
        <v>20</v>
      </c>
      <c r="D12" s="7">
        <f t="shared" si="0"/>
        <v>120</v>
      </c>
      <c r="F12" s="3" t="s">
        <v>316</v>
      </c>
      <c r="G12" s="7">
        <v>242</v>
      </c>
      <c r="H12" s="7"/>
      <c r="I12" s="7"/>
    </row>
    <row r="13" spans="1:9" s="3" customFormat="1" x14ac:dyDescent="0.25">
      <c r="B13" s="3" t="s">
        <v>311</v>
      </c>
      <c r="C13" s="7">
        <f t="shared" si="1"/>
        <v>21</v>
      </c>
      <c r="D13" s="7">
        <f t="shared" si="0"/>
        <v>121</v>
      </c>
      <c r="E13" s="3" t="s">
        <v>23</v>
      </c>
      <c r="F13" s="3" t="s">
        <v>316</v>
      </c>
      <c r="G13" s="7">
        <v>250</v>
      </c>
      <c r="H13" s="7"/>
      <c r="I13" s="7"/>
    </row>
    <row r="14" spans="1:9" s="3" customFormat="1" x14ac:dyDescent="0.25">
      <c r="B14" s="3" t="s">
        <v>311</v>
      </c>
      <c r="C14" s="7">
        <f t="shared" si="1"/>
        <v>22</v>
      </c>
      <c r="D14" s="7">
        <f t="shared" si="0"/>
        <v>122</v>
      </c>
      <c r="H14" s="7"/>
      <c r="I14" s="7"/>
    </row>
    <row r="15" spans="1:9" s="3" customFormat="1" x14ac:dyDescent="0.25">
      <c r="B15" s="3" t="s">
        <v>311</v>
      </c>
      <c r="C15" s="7">
        <f t="shared" si="1"/>
        <v>23</v>
      </c>
      <c r="D15" s="7">
        <f t="shared" si="0"/>
        <v>123</v>
      </c>
      <c r="H15" s="7"/>
      <c r="I15" s="7"/>
    </row>
    <row r="16" spans="1:9" s="3" customFormat="1" x14ac:dyDescent="0.25">
      <c r="B16" s="3" t="s">
        <v>311</v>
      </c>
      <c r="C16" s="7">
        <f t="shared" si="1"/>
        <v>24</v>
      </c>
      <c r="D16" s="7">
        <f t="shared" si="0"/>
        <v>124</v>
      </c>
      <c r="H16" s="7"/>
      <c r="I16" s="7"/>
    </row>
    <row r="17" spans="1:9" s="3" customFormat="1" x14ac:dyDescent="0.25">
      <c r="B17" s="3" t="s">
        <v>311</v>
      </c>
      <c r="C17" s="7">
        <f t="shared" si="1"/>
        <v>25</v>
      </c>
      <c r="D17" s="7">
        <f t="shared" si="0"/>
        <v>125</v>
      </c>
      <c r="H17" s="7"/>
      <c r="I17" s="7"/>
    </row>
    <row r="18" spans="1:9" s="3" customFormat="1" x14ac:dyDescent="0.25">
      <c r="B18" s="3" t="s">
        <v>311</v>
      </c>
      <c r="C18" s="7">
        <f t="shared" si="1"/>
        <v>26</v>
      </c>
      <c r="D18" s="7">
        <f t="shared" si="0"/>
        <v>126</v>
      </c>
      <c r="H18" s="7"/>
      <c r="I18" s="7"/>
    </row>
    <row r="19" spans="1:9" s="3" customFormat="1" x14ac:dyDescent="0.25">
      <c r="B19" s="3" t="s">
        <v>311</v>
      </c>
      <c r="C19" s="7">
        <f t="shared" si="1"/>
        <v>27</v>
      </c>
      <c r="D19" s="7">
        <f t="shared" si="0"/>
        <v>127</v>
      </c>
      <c r="H19" s="7"/>
      <c r="I19" s="7"/>
    </row>
    <row r="20" spans="1:9" s="3" customFormat="1" x14ac:dyDescent="0.25">
      <c r="B20" s="3" t="s">
        <v>311</v>
      </c>
      <c r="C20" s="7">
        <f t="shared" si="1"/>
        <v>28</v>
      </c>
      <c r="D20" s="7">
        <f t="shared" si="0"/>
        <v>128</v>
      </c>
      <c r="H20" s="7"/>
      <c r="I20" s="7"/>
    </row>
    <row r="21" spans="1:9" s="3" customFormat="1" x14ac:dyDescent="0.25">
      <c r="B21" s="3" t="s">
        <v>311</v>
      </c>
      <c r="C21" s="7">
        <f t="shared" si="1"/>
        <v>29</v>
      </c>
      <c r="D21" s="7">
        <f t="shared" si="0"/>
        <v>129</v>
      </c>
      <c r="H21" s="7"/>
      <c r="I21" s="7"/>
    </row>
    <row r="22" spans="1:9" s="3" customFormat="1" x14ac:dyDescent="0.25">
      <c r="B22" s="3" t="s">
        <v>312</v>
      </c>
      <c r="C22" s="7">
        <f t="shared" si="1"/>
        <v>30</v>
      </c>
      <c r="D22" s="7">
        <f t="shared" si="0"/>
        <v>130</v>
      </c>
      <c r="E22" s="2"/>
      <c r="F22" s="2"/>
      <c r="H22" s="8"/>
      <c r="I22" s="7"/>
    </row>
    <row r="23" spans="1:9" s="3" customFormat="1" x14ac:dyDescent="0.25">
      <c r="B23" s="3" t="s">
        <v>312</v>
      </c>
      <c r="C23" s="7">
        <f t="shared" si="1"/>
        <v>31</v>
      </c>
      <c r="D23" s="7">
        <f t="shared" si="0"/>
        <v>131</v>
      </c>
      <c r="E23" s="2"/>
      <c r="F23" s="2"/>
      <c r="H23" s="8"/>
      <c r="I23" s="7"/>
    </row>
    <row r="24" spans="1:9" s="3" customFormat="1" x14ac:dyDescent="0.25">
      <c r="B24" s="3" t="s">
        <v>312</v>
      </c>
      <c r="C24" s="7">
        <f t="shared" si="1"/>
        <v>32</v>
      </c>
      <c r="D24" s="7">
        <f t="shared" si="0"/>
        <v>132</v>
      </c>
      <c r="E24" s="2"/>
      <c r="F24" s="2"/>
      <c r="H24" s="8"/>
      <c r="I24" s="7"/>
    </row>
    <row r="25" spans="1:9" s="3" customFormat="1" x14ac:dyDescent="0.25">
      <c r="B25" s="3" t="s">
        <v>312</v>
      </c>
      <c r="C25" s="7">
        <f t="shared" si="1"/>
        <v>33</v>
      </c>
      <c r="D25" s="7">
        <f t="shared" si="0"/>
        <v>133</v>
      </c>
      <c r="E25" s="2"/>
      <c r="F25" s="2"/>
      <c r="H25" s="8"/>
      <c r="I25" s="7"/>
    </row>
    <row r="26" spans="1:9" s="3" customFormat="1" x14ac:dyDescent="0.25">
      <c r="B26" s="3" t="s">
        <v>312</v>
      </c>
      <c r="C26" s="7">
        <f t="shared" si="1"/>
        <v>34</v>
      </c>
      <c r="D26" s="7">
        <f t="shared" si="0"/>
        <v>134</v>
      </c>
      <c r="E26" s="2"/>
      <c r="F26" s="2"/>
      <c r="H26" s="8"/>
      <c r="I26" s="7"/>
    </row>
    <row r="27" spans="1:9" s="3" customFormat="1" x14ac:dyDescent="0.25">
      <c r="B27" s="3" t="s">
        <v>312</v>
      </c>
      <c r="C27" s="7">
        <f t="shared" si="1"/>
        <v>35</v>
      </c>
      <c r="D27" s="7">
        <f t="shared" si="0"/>
        <v>135</v>
      </c>
      <c r="E27" s="2"/>
      <c r="F27" s="2"/>
      <c r="H27" s="8"/>
      <c r="I27" s="7"/>
    </row>
    <row r="28" spans="1:9" s="3" customFormat="1" x14ac:dyDescent="0.25">
      <c r="B28" s="3" t="s">
        <v>312</v>
      </c>
      <c r="C28" s="7">
        <f t="shared" si="1"/>
        <v>36</v>
      </c>
      <c r="D28" s="7">
        <f t="shared" si="0"/>
        <v>136</v>
      </c>
      <c r="E28" s="2"/>
      <c r="F28" s="2"/>
      <c r="H28" s="8"/>
      <c r="I28" s="7"/>
    </row>
    <row r="29" spans="1:9" s="3" customFormat="1" x14ac:dyDescent="0.25">
      <c r="B29" s="3" t="s">
        <v>312</v>
      </c>
      <c r="C29" s="7">
        <f t="shared" si="1"/>
        <v>37</v>
      </c>
      <c r="D29" s="7">
        <f t="shared" si="0"/>
        <v>137</v>
      </c>
      <c r="E29" s="2"/>
      <c r="F29" s="2"/>
      <c r="H29" s="8"/>
      <c r="I29" s="7"/>
    </row>
    <row r="30" spans="1:9" s="3" customFormat="1" x14ac:dyDescent="0.25">
      <c r="B30" s="3" t="s">
        <v>312</v>
      </c>
      <c r="C30" s="7">
        <f t="shared" si="1"/>
        <v>38</v>
      </c>
      <c r="D30" s="7">
        <f t="shared" si="0"/>
        <v>138</v>
      </c>
      <c r="E30" s="2"/>
      <c r="F30" s="2"/>
      <c r="H30" s="8"/>
      <c r="I30" s="7"/>
    </row>
    <row r="31" spans="1:9" s="3" customFormat="1" x14ac:dyDescent="0.25">
      <c r="B31" s="3" t="s">
        <v>312</v>
      </c>
      <c r="C31" s="7">
        <f t="shared" si="1"/>
        <v>39</v>
      </c>
      <c r="D31" s="7">
        <f t="shared" si="0"/>
        <v>139</v>
      </c>
      <c r="E31" s="2"/>
      <c r="F31" s="2"/>
      <c r="H31" s="8"/>
      <c r="I31" s="7"/>
    </row>
    <row r="32" spans="1:9" s="3" customFormat="1" x14ac:dyDescent="0.25">
      <c r="A32" s="3" t="s">
        <v>141</v>
      </c>
      <c r="B32" s="3" t="s">
        <v>303</v>
      </c>
      <c r="C32" s="7">
        <f t="shared" si="1"/>
        <v>40</v>
      </c>
      <c r="D32" s="7">
        <f t="shared" si="0"/>
        <v>140</v>
      </c>
      <c r="E32" s="2"/>
      <c r="F32" s="2"/>
      <c r="H32" s="8"/>
      <c r="I3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cargo</vt:lpstr>
      <vt:lpstr>industries</vt:lpstr>
      <vt:lpstr>houses</vt:lpstr>
      <vt:lpstr>retail</vt:lpstr>
      <vt:lpstr>services</vt:lpstr>
      <vt:lpstr>residential</vt:lpstr>
      <vt:lpstr>explosives</vt:lpstr>
      <vt:lpstr>construction_materials</vt:lpstr>
      <vt:lpstr>manufacturing_supplies</vt:lpstr>
      <vt:lpstr>marine_supplies</vt:lpstr>
      <vt:lpstr>farming_supplies</vt:lpstr>
      <vt:lpstr>engineering_supplies</vt:lpstr>
      <vt:lpstr>food_processing</vt:lpstr>
      <vt:lpstr>consumer_goods</vt:lpstr>
      <vt:lpstr>components</vt:lpstr>
      <vt:lpstr>enrichment</vt:lpstr>
      <vt:lpstr>reclamation</vt:lpstr>
      <vt:lpstr>products</vt:lpstr>
      <vt:lpstr>materials</vt:lpstr>
      <vt:lpstr>chemicals</vt:lpstr>
      <vt:lpstr>refinement</vt:lpstr>
      <vt:lpstr>purification</vt:lpstr>
      <vt:lpstr>metals</vt:lpstr>
      <vt:lpstr>forestry</vt:lpstr>
      <vt:lpstr>cultivation</vt:lpstr>
      <vt:lpstr>husbandry</vt:lpstr>
      <vt:lpstr>mining</vt:lpstr>
      <vt:lpstr>offshore_excavation</vt:lpstr>
      <vt:lpstr>inland_excavation</vt:lpstr>
      <vt:lpstr>offshore_fisheries</vt:lpstr>
      <vt:lpstr>inland_fisheries</vt:lpstr>
      <vt:lpstr>offshore_extraction</vt:lpstr>
      <vt:lpstr>inland_extraction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Harvie</dc:creator>
  <cp:lastModifiedBy>Martin Harvie</cp:lastModifiedBy>
  <dcterms:created xsi:type="dcterms:W3CDTF">2025-04-16T21:58:34Z</dcterms:created>
  <dcterms:modified xsi:type="dcterms:W3CDTF">2026-01-13T02:06:34Z</dcterms:modified>
</cp:coreProperties>
</file>